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8c83d09ad46c3827/Documents/"/>
    </mc:Choice>
  </mc:AlternateContent>
  <xr:revisionPtr revIDLastSave="17" documentId="8_{4788E260-0205-4696-8AEA-9633E8DAA6B0}" xr6:coauthVersionLast="47" xr6:coauthVersionMax="47" xr10:uidLastSave="{81B06840-861E-4AD5-9BF2-59630FAFDEFF}"/>
  <bookViews>
    <workbookView xWindow="-108" yWindow="-108" windowWidth="23256" windowHeight="12456" xr2:uid="{00000000-000D-0000-FFFF-FFFF00000000}"/>
  </bookViews>
  <sheets>
    <sheet name="Acciones" sheetId="1" r:id="rId1"/>
    <sheet name="Configurac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l8SuT1HGUyPXKxabC90CF1j9GzAbYK1TJBohFINkMNw="/>
    </ext>
  </extLst>
</workbook>
</file>

<file path=xl/calcChain.xml><?xml version="1.0" encoding="utf-8"?>
<calcChain xmlns="http://schemas.openxmlformats.org/spreadsheetml/2006/main">
  <c r="F26" i="2" l="1"/>
  <c r="J26" i="2" s="1"/>
  <c r="F25" i="2"/>
  <c r="J25" i="2" s="1"/>
  <c r="F24" i="2"/>
  <c r="J24" i="2" s="1"/>
  <c r="F23" i="2"/>
  <c r="J23" i="2" s="1"/>
  <c r="F22" i="2"/>
  <c r="J22" i="2" s="1"/>
  <c r="H19" i="2"/>
  <c r="L18" i="2"/>
  <c r="L17" i="2"/>
  <c r="L16" i="2"/>
  <c r="L15" i="2"/>
  <c r="L19" i="2" s="1"/>
  <c r="L14" i="2"/>
  <c r="Q258" i="1"/>
  <c r="P258" i="1"/>
  <c r="O258" i="1"/>
  <c r="N258" i="1"/>
  <c r="M258" i="1"/>
  <c r="Q257" i="1"/>
  <c r="P257" i="1"/>
  <c r="O257" i="1"/>
  <c r="N257" i="1"/>
  <c r="M257" i="1"/>
  <c r="Q256" i="1"/>
  <c r="P256" i="1"/>
  <c r="O256" i="1"/>
  <c r="N256" i="1"/>
  <c r="M256" i="1"/>
  <c r="Q255" i="1"/>
  <c r="P255" i="1"/>
  <c r="O255" i="1"/>
  <c r="N255" i="1"/>
  <c r="M255" i="1"/>
  <c r="Q254" i="1"/>
  <c r="P254" i="1"/>
  <c r="O254" i="1"/>
  <c r="N254" i="1"/>
  <c r="M254" i="1"/>
  <c r="Q253" i="1"/>
  <c r="P253" i="1"/>
  <c r="O253" i="1"/>
  <c r="N253" i="1"/>
  <c r="M253" i="1"/>
  <c r="Q252" i="1"/>
  <c r="P252" i="1"/>
  <c r="O252" i="1"/>
  <c r="N252" i="1"/>
  <c r="M252" i="1"/>
  <c r="Q251" i="1"/>
  <c r="P251" i="1"/>
  <c r="O251" i="1"/>
  <c r="N251" i="1"/>
  <c r="M251" i="1"/>
  <c r="Q250" i="1"/>
  <c r="P250" i="1"/>
  <c r="O250" i="1"/>
  <c r="N250" i="1"/>
  <c r="M250" i="1"/>
  <c r="Q249" i="1"/>
  <c r="P249" i="1"/>
  <c r="O249" i="1"/>
  <c r="N249" i="1"/>
  <c r="M249" i="1"/>
  <c r="Q248" i="1"/>
  <c r="P248" i="1"/>
  <c r="O248" i="1"/>
  <c r="N248" i="1"/>
  <c r="M248" i="1"/>
  <c r="Q247" i="1"/>
  <c r="P247" i="1"/>
  <c r="O247" i="1"/>
  <c r="N247" i="1"/>
  <c r="M247" i="1"/>
  <c r="Q246" i="1"/>
  <c r="P246" i="1"/>
  <c r="O246" i="1"/>
  <c r="N246" i="1"/>
  <c r="M246" i="1"/>
  <c r="Q245" i="1"/>
  <c r="P245" i="1"/>
  <c r="O245" i="1"/>
  <c r="N245" i="1"/>
  <c r="M245" i="1"/>
  <c r="Q244" i="1"/>
  <c r="P244" i="1"/>
  <c r="O244" i="1"/>
  <c r="N244" i="1"/>
  <c r="M244" i="1"/>
  <c r="Q243" i="1"/>
  <c r="P243" i="1"/>
  <c r="O243" i="1"/>
  <c r="N243" i="1"/>
  <c r="M243" i="1"/>
  <c r="Q242" i="1"/>
  <c r="P242" i="1"/>
  <c r="O242" i="1"/>
  <c r="N242" i="1"/>
  <c r="M242" i="1"/>
  <c r="Q241" i="1"/>
  <c r="P241" i="1"/>
  <c r="O241" i="1"/>
  <c r="N241" i="1"/>
  <c r="M241" i="1"/>
  <c r="T240" i="1"/>
  <c r="Q240" i="1"/>
  <c r="P240" i="1"/>
  <c r="O240" i="1"/>
  <c r="N240" i="1"/>
  <c r="M240" i="1"/>
  <c r="T239" i="1"/>
  <c r="Q239" i="1"/>
  <c r="P239" i="1"/>
  <c r="O239" i="1"/>
  <c r="N239" i="1"/>
  <c r="M239" i="1"/>
  <c r="T238" i="1"/>
  <c r="Q238" i="1"/>
  <c r="P238" i="1"/>
  <c r="O238" i="1"/>
  <c r="N238" i="1"/>
  <c r="M238" i="1"/>
  <c r="T237" i="1"/>
  <c r="Q237" i="1"/>
  <c r="P237" i="1"/>
  <c r="O237" i="1"/>
  <c r="N237" i="1"/>
  <c r="M237" i="1"/>
  <c r="T236" i="1"/>
  <c r="Q236" i="1"/>
  <c r="P236" i="1"/>
  <c r="O236" i="1"/>
  <c r="N236" i="1"/>
  <c r="M236" i="1"/>
  <c r="T235" i="1"/>
  <c r="Q235" i="1"/>
  <c r="P235" i="1"/>
  <c r="O235" i="1"/>
  <c r="N235" i="1"/>
  <c r="M235" i="1"/>
  <c r="T234" i="1"/>
  <c r="Q234" i="1"/>
  <c r="P234" i="1"/>
  <c r="O234" i="1"/>
  <c r="N234" i="1"/>
  <c r="M234" i="1"/>
  <c r="T233" i="1"/>
  <c r="Q233" i="1"/>
  <c r="P233" i="1"/>
  <c r="O233" i="1"/>
  <c r="N233" i="1"/>
  <c r="M233" i="1"/>
  <c r="T232" i="1"/>
  <c r="Q232" i="1"/>
  <c r="P232" i="1"/>
  <c r="O232" i="1"/>
  <c r="N232" i="1"/>
  <c r="M232" i="1"/>
  <c r="T231" i="1"/>
  <c r="Q231" i="1"/>
  <c r="P231" i="1"/>
  <c r="O231" i="1"/>
  <c r="N231" i="1"/>
  <c r="M231" i="1"/>
  <c r="T230" i="1"/>
  <c r="R230" i="1"/>
  <c r="Q230" i="1"/>
  <c r="P230" i="1"/>
  <c r="O230" i="1"/>
  <c r="N230" i="1"/>
  <c r="M230" i="1"/>
  <c r="T229" i="1"/>
  <c r="R229" i="1"/>
  <c r="Q229" i="1"/>
  <c r="P229" i="1"/>
  <c r="O229" i="1"/>
  <c r="N229" i="1"/>
  <c r="M229" i="1"/>
  <c r="T228" i="1"/>
  <c r="R228" i="1"/>
  <c r="Q228" i="1"/>
  <c r="P228" i="1"/>
  <c r="O228" i="1"/>
  <c r="N228" i="1"/>
  <c r="M228" i="1"/>
  <c r="T227" i="1"/>
  <c r="R227" i="1"/>
  <c r="Q227" i="1"/>
  <c r="P227" i="1"/>
  <c r="O227" i="1"/>
  <c r="N227" i="1"/>
  <c r="M227" i="1"/>
  <c r="T226" i="1"/>
  <c r="R226" i="1"/>
  <c r="Q226" i="1"/>
  <c r="P226" i="1"/>
  <c r="O226" i="1"/>
  <c r="N226" i="1"/>
  <c r="M226" i="1"/>
  <c r="T225" i="1"/>
  <c r="R225" i="1"/>
  <c r="Q225" i="1"/>
  <c r="P225" i="1"/>
  <c r="O225" i="1"/>
  <c r="N225" i="1"/>
  <c r="M225" i="1"/>
  <c r="T224" i="1"/>
  <c r="R224" i="1"/>
  <c r="Q224" i="1"/>
  <c r="P224" i="1"/>
  <c r="O224" i="1"/>
  <c r="N224" i="1"/>
  <c r="M224" i="1"/>
  <c r="T223" i="1"/>
  <c r="R223" i="1"/>
  <c r="Q223" i="1"/>
  <c r="P223" i="1"/>
  <c r="O223" i="1"/>
  <c r="N223" i="1"/>
  <c r="M223" i="1"/>
  <c r="T222" i="1"/>
  <c r="R222" i="1"/>
  <c r="Q222" i="1"/>
  <c r="P222" i="1"/>
  <c r="O222" i="1"/>
  <c r="N222" i="1"/>
  <c r="M222" i="1"/>
  <c r="T221" i="1"/>
  <c r="R221" i="1"/>
  <c r="Q221" i="1"/>
  <c r="P221" i="1"/>
  <c r="O221" i="1"/>
  <c r="N221" i="1"/>
  <c r="M221" i="1"/>
  <c r="T220" i="1"/>
  <c r="R220" i="1"/>
  <c r="Q220" i="1"/>
  <c r="P220" i="1"/>
  <c r="O220" i="1"/>
  <c r="N220" i="1"/>
  <c r="M220" i="1"/>
  <c r="T219" i="1"/>
  <c r="R219" i="1"/>
  <c r="Q219" i="1"/>
  <c r="P219" i="1"/>
  <c r="O219" i="1"/>
  <c r="N219" i="1"/>
  <c r="M219" i="1"/>
  <c r="T218" i="1"/>
  <c r="R218" i="1"/>
  <c r="Q218" i="1"/>
  <c r="P218" i="1"/>
  <c r="O218" i="1"/>
  <c r="N218" i="1"/>
  <c r="M218" i="1"/>
  <c r="T217" i="1"/>
  <c r="R217" i="1"/>
  <c r="Q217" i="1"/>
  <c r="P217" i="1"/>
  <c r="O217" i="1"/>
  <c r="N217" i="1"/>
  <c r="M217" i="1"/>
  <c r="T216" i="1"/>
  <c r="R216" i="1"/>
  <c r="Q216" i="1"/>
  <c r="P216" i="1"/>
  <c r="O216" i="1"/>
  <c r="N216" i="1"/>
  <c r="M216" i="1"/>
  <c r="T215" i="1"/>
  <c r="R215" i="1"/>
  <c r="Q215" i="1"/>
  <c r="P215" i="1"/>
  <c r="O215" i="1"/>
  <c r="N215" i="1"/>
  <c r="M215" i="1"/>
  <c r="T214" i="1"/>
  <c r="R214" i="1"/>
  <c r="Q214" i="1"/>
  <c r="P214" i="1"/>
  <c r="O214" i="1"/>
  <c r="N214" i="1"/>
  <c r="M214" i="1"/>
  <c r="T213" i="1"/>
  <c r="R213" i="1"/>
  <c r="Q213" i="1"/>
  <c r="P213" i="1"/>
  <c r="O213" i="1"/>
  <c r="N213" i="1"/>
  <c r="M213" i="1"/>
  <c r="T212" i="1"/>
  <c r="R212" i="1"/>
  <c r="Q212" i="1"/>
  <c r="P212" i="1"/>
  <c r="O212" i="1"/>
  <c r="N212" i="1"/>
  <c r="M212" i="1"/>
  <c r="T211" i="1"/>
  <c r="R211" i="1"/>
  <c r="Q211" i="1"/>
  <c r="P211" i="1"/>
  <c r="O211" i="1"/>
  <c r="N211" i="1"/>
  <c r="M211" i="1"/>
  <c r="T210" i="1"/>
  <c r="R210" i="1"/>
  <c r="Q210" i="1"/>
  <c r="P210" i="1"/>
  <c r="O210" i="1"/>
  <c r="N210" i="1"/>
  <c r="M210" i="1"/>
  <c r="T209" i="1"/>
  <c r="R209" i="1"/>
  <c r="Q209" i="1"/>
  <c r="P209" i="1"/>
  <c r="O209" i="1"/>
  <c r="N209" i="1"/>
  <c r="M209" i="1"/>
  <c r="T208" i="1"/>
  <c r="R208" i="1"/>
  <c r="Q208" i="1"/>
  <c r="P208" i="1"/>
  <c r="O208" i="1"/>
  <c r="N208" i="1"/>
  <c r="M208" i="1"/>
  <c r="T207" i="1"/>
  <c r="R207" i="1"/>
  <c r="Q207" i="1"/>
  <c r="P207" i="1"/>
  <c r="O207" i="1"/>
  <c r="N207" i="1"/>
  <c r="M207" i="1"/>
  <c r="T206" i="1"/>
  <c r="R206" i="1"/>
  <c r="Q206" i="1"/>
  <c r="P206" i="1"/>
  <c r="O206" i="1"/>
  <c r="N206" i="1"/>
  <c r="M206" i="1"/>
  <c r="T205" i="1"/>
  <c r="R205" i="1"/>
  <c r="Q205" i="1"/>
  <c r="P205" i="1"/>
  <c r="O205" i="1"/>
  <c r="N205" i="1"/>
  <c r="M205" i="1"/>
  <c r="T204" i="1"/>
  <c r="R204" i="1"/>
  <c r="Q204" i="1"/>
  <c r="P204" i="1"/>
  <c r="O204" i="1"/>
  <c r="N204" i="1"/>
  <c r="M204" i="1"/>
  <c r="T203" i="1"/>
  <c r="R203" i="1"/>
  <c r="Q203" i="1"/>
  <c r="P203" i="1"/>
  <c r="O203" i="1"/>
  <c r="N203" i="1"/>
  <c r="M203" i="1"/>
  <c r="T202" i="1"/>
  <c r="R202" i="1"/>
  <c r="Q202" i="1"/>
  <c r="P202" i="1"/>
  <c r="O202" i="1"/>
  <c r="N202" i="1"/>
  <c r="M202" i="1"/>
  <c r="T201" i="1"/>
  <c r="R201" i="1"/>
  <c r="Q201" i="1"/>
  <c r="P201" i="1"/>
  <c r="O201" i="1"/>
  <c r="N201" i="1"/>
  <c r="M201" i="1"/>
  <c r="T200" i="1"/>
  <c r="R200" i="1"/>
  <c r="Q200" i="1"/>
  <c r="P200" i="1"/>
  <c r="O200" i="1"/>
  <c r="N200" i="1"/>
  <c r="M200" i="1"/>
  <c r="T199" i="1"/>
  <c r="R199" i="1"/>
  <c r="Q199" i="1"/>
  <c r="P199" i="1"/>
  <c r="O199" i="1"/>
  <c r="N199" i="1"/>
  <c r="M199" i="1"/>
  <c r="T198" i="1"/>
  <c r="R198" i="1"/>
  <c r="Q198" i="1"/>
  <c r="P198" i="1"/>
  <c r="O198" i="1"/>
  <c r="N198" i="1"/>
  <c r="M198" i="1"/>
  <c r="T197" i="1"/>
  <c r="R197" i="1"/>
  <c r="Q197" i="1"/>
  <c r="P197" i="1"/>
  <c r="O197" i="1"/>
  <c r="N197" i="1"/>
  <c r="M197" i="1"/>
  <c r="U196" i="1"/>
  <c r="T196" i="1"/>
  <c r="R196" i="1"/>
  <c r="Q196" i="1"/>
  <c r="P196" i="1"/>
  <c r="O196" i="1"/>
  <c r="N196" i="1"/>
  <c r="M196" i="1"/>
  <c r="U195" i="1"/>
  <c r="T195" i="1"/>
  <c r="R195" i="1"/>
  <c r="Q195" i="1"/>
  <c r="P195" i="1"/>
  <c r="O195" i="1"/>
  <c r="N195" i="1"/>
  <c r="M195" i="1"/>
  <c r="U194" i="1"/>
  <c r="T194" i="1"/>
  <c r="R194" i="1"/>
  <c r="Q194" i="1"/>
  <c r="P194" i="1"/>
  <c r="O194" i="1"/>
  <c r="N194" i="1"/>
  <c r="M194" i="1"/>
  <c r="U193" i="1"/>
  <c r="T193" i="1"/>
  <c r="R193" i="1"/>
  <c r="Q193" i="1"/>
  <c r="P193" i="1"/>
  <c r="O193" i="1"/>
  <c r="N193" i="1"/>
  <c r="M193" i="1"/>
  <c r="U192" i="1"/>
  <c r="T192" i="1"/>
  <c r="R192" i="1"/>
  <c r="Q192" i="1"/>
  <c r="P192" i="1"/>
  <c r="O192" i="1"/>
  <c r="N192" i="1"/>
  <c r="M192" i="1"/>
  <c r="U191" i="1"/>
  <c r="T191" i="1"/>
  <c r="R191" i="1"/>
  <c r="Q191" i="1"/>
  <c r="P191" i="1"/>
  <c r="O191" i="1"/>
  <c r="N191" i="1"/>
  <c r="M191" i="1"/>
  <c r="U190" i="1"/>
  <c r="T190" i="1"/>
  <c r="R190" i="1"/>
  <c r="Q190" i="1"/>
  <c r="P190" i="1"/>
  <c r="O190" i="1"/>
  <c r="N190" i="1"/>
  <c r="M190" i="1"/>
  <c r="U189" i="1"/>
  <c r="T189" i="1"/>
  <c r="R189" i="1"/>
  <c r="Q189" i="1"/>
  <c r="P189" i="1"/>
  <c r="O189" i="1"/>
  <c r="N189" i="1"/>
  <c r="M189" i="1"/>
  <c r="U188" i="1"/>
  <c r="T188" i="1"/>
  <c r="R188" i="1"/>
  <c r="Q188" i="1"/>
  <c r="P188" i="1"/>
  <c r="O188" i="1"/>
  <c r="N188" i="1"/>
  <c r="M188" i="1"/>
  <c r="U187" i="1"/>
  <c r="T187" i="1"/>
  <c r="R187" i="1"/>
  <c r="Q187" i="1"/>
  <c r="P187" i="1"/>
  <c r="O187" i="1"/>
  <c r="N187" i="1"/>
  <c r="M187" i="1"/>
  <c r="U186" i="1"/>
  <c r="T186" i="1"/>
  <c r="R186" i="1"/>
  <c r="Q186" i="1"/>
  <c r="P186" i="1"/>
  <c r="O186" i="1"/>
  <c r="N186" i="1"/>
  <c r="M186" i="1"/>
  <c r="U185" i="1"/>
  <c r="T185" i="1"/>
  <c r="R185" i="1"/>
  <c r="Q185" i="1"/>
  <c r="P185" i="1"/>
  <c r="O185" i="1"/>
  <c r="N185" i="1"/>
  <c r="M185" i="1"/>
  <c r="U184" i="1"/>
  <c r="T184" i="1"/>
  <c r="R184" i="1"/>
  <c r="Q184" i="1"/>
  <c r="P184" i="1"/>
  <c r="O184" i="1"/>
  <c r="N184" i="1"/>
  <c r="M184" i="1"/>
  <c r="U183" i="1"/>
  <c r="T183" i="1"/>
  <c r="R183" i="1"/>
  <c r="Q183" i="1"/>
  <c r="P183" i="1"/>
  <c r="O183" i="1"/>
  <c r="N183" i="1"/>
  <c r="M183" i="1"/>
  <c r="U182" i="1"/>
  <c r="T182" i="1"/>
  <c r="R182" i="1"/>
  <c r="Q182" i="1"/>
  <c r="P182" i="1"/>
  <c r="O182" i="1"/>
  <c r="N182" i="1"/>
  <c r="M182" i="1"/>
  <c r="U181" i="1"/>
  <c r="T181" i="1"/>
  <c r="R181" i="1"/>
  <c r="Q181" i="1"/>
  <c r="P181" i="1"/>
  <c r="O181" i="1"/>
  <c r="N181" i="1"/>
  <c r="M181" i="1"/>
  <c r="U180" i="1"/>
  <c r="T180" i="1"/>
  <c r="R180" i="1"/>
  <c r="Q180" i="1"/>
  <c r="P180" i="1"/>
  <c r="O180" i="1"/>
  <c r="N180" i="1"/>
  <c r="M180" i="1"/>
  <c r="U179" i="1"/>
  <c r="T179" i="1"/>
  <c r="R179" i="1"/>
  <c r="Q179" i="1"/>
  <c r="P179" i="1"/>
  <c r="O179" i="1"/>
  <c r="N179" i="1"/>
  <c r="M179" i="1"/>
  <c r="U178" i="1"/>
  <c r="T178" i="1"/>
  <c r="R178" i="1"/>
  <c r="Q178" i="1"/>
  <c r="P178" i="1"/>
  <c r="O178" i="1"/>
  <c r="N178" i="1"/>
  <c r="M178" i="1"/>
  <c r="U177" i="1"/>
  <c r="T177" i="1"/>
  <c r="R177" i="1"/>
  <c r="Q177" i="1"/>
  <c r="P177" i="1"/>
  <c r="O177" i="1"/>
  <c r="N177" i="1"/>
  <c r="M177" i="1"/>
  <c r="U176" i="1"/>
  <c r="T176" i="1"/>
  <c r="R176" i="1"/>
  <c r="Q176" i="1"/>
  <c r="P176" i="1"/>
  <c r="O176" i="1"/>
  <c r="N176" i="1"/>
  <c r="M176" i="1"/>
  <c r="U175" i="1"/>
  <c r="T175" i="1"/>
  <c r="R175" i="1"/>
  <c r="Q175" i="1"/>
  <c r="P175" i="1"/>
  <c r="O175" i="1"/>
  <c r="N175" i="1"/>
  <c r="M175" i="1"/>
  <c r="U174" i="1"/>
  <c r="T174" i="1"/>
  <c r="R174" i="1"/>
  <c r="Q174" i="1"/>
  <c r="P174" i="1"/>
  <c r="O174" i="1"/>
  <c r="N174" i="1"/>
  <c r="M174" i="1"/>
  <c r="U173" i="1"/>
  <c r="T173" i="1"/>
  <c r="R173" i="1"/>
  <c r="Q173" i="1"/>
  <c r="P173" i="1"/>
  <c r="O173" i="1"/>
  <c r="N173" i="1"/>
  <c r="M173" i="1"/>
  <c r="U172" i="1"/>
  <c r="T172" i="1"/>
  <c r="R172" i="1"/>
  <c r="Q172" i="1"/>
  <c r="P172" i="1"/>
  <c r="O172" i="1"/>
  <c r="N172" i="1"/>
  <c r="M172" i="1"/>
  <c r="U171" i="1"/>
  <c r="T171" i="1"/>
  <c r="R171" i="1"/>
  <c r="Q171" i="1"/>
  <c r="P171" i="1"/>
  <c r="O171" i="1"/>
  <c r="N171" i="1"/>
  <c r="M171" i="1"/>
  <c r="U170" i="1"/>
  <c r="T170" i="1"/>
  <c r="R170" i="1"/>
  <c r="Q170" i="1"/>
  <c r="P170" i="1"/>
  <c r="O170" i="1"/>
  <c r="N170" i="1"/>
  <c r="M170" i="1"/>
  <c r="U169" i="1"/>
  <c r="T169" i="1"/>
  <c r="R169" i="1"/>
  <c r="Q169" i="1"/>
  <c r="P169" i="1"/>
  <c r="O169" i="1"/>
  <c r="N169" i="1"/>
  <c r="M169" i="1"/>
  <c r="U168" i="1"/>
  <c r="T168" i="1"/>
  <c r="R168" i="1"/>
  <c r="Q168" i="1"/>
  <c r="P168" i="1"/>
  <c r="O168" i="1"/>
  <c r="N168" i="1"/>
  <c r="M168" i="1"/>
  <c r="U167" i="1"/>
  <c r="T167" i="1"/>
  <c r="R167" i="1"/>
  <c r="Q167" i="1"/>
  <c r="P167" i="1"/>
  <c r="O167" i="1"/>
  <c r="N167" i="1"/>
  <c r="M167" i="1"/>
  <c r="U166" i="1"/>
  <c r="T166" i="1"/>
  <c r="R166" i="1"/>
  <c r="Q166" i="1"/>
  <c r="P166" i="1"/>
  <c r="O166" i="1"/>
  <c r="N166" i="1"/>
  <c r="M166" i="1"/>
  <c r="U165" i="1"/>
  <c r="T165" i="1"/>
  <c r="R165" i="1"/>
  <c r="Q165" i="1"/>
  <c r="P165" i="1"/>
  <c r="O165" i="1"/>
  <c r="N165" i="1"/>
  <c r="M165" i="1"/>
  <c r="U164" i="1"/>
  <c r="T164" i="1"/>
  <c r="R164" i="1"/>
  <c r="Q164" i="1"/>
  <c r="P164" i="1"/>
  <c r="O164" i="1"/>
  <c r="N164" i="1"/>
  <c r="M164" i="1"/>
  <c r="U163" i="1"/>
  <c r="T163" i="1"/>
  <c r="R163" i="1"/>
  <c r="Q163" i="1"/>
  <c r="P163" i="1"/>
  <c r="O163" i="1"/>
  <c r="N163" i="1"/>
  <c r="M163" i="1"/>
  <c r="U162" i="1"/>
  <c r="T162" i="1"/>
  <c r="R162" i="1"/>
  <c r="Q162" i="1"/>
  <c r="P162" i="1"/>
  <c r="O162" i="1"/>
  <c r="N162" i="1"/>
  <c r="M162" i="1"/>
  <c r="U161" i="1"/>
  <c r="T161" i="1"/>
  <c r="R161" i="1"/>
  <c r="Q161" i="1"/>
  <c r="P161" i="1"/>
  <c r="O161" i="1"/>
  <c r="N161" i="1"/>
  <c r="M161" i="1"/>
  <c r="U160" i="1"/>
  <c r="T160" i="1"/>
  <c r="R160" i="1"/>
  <c r="Q160" i="1"/>
  <c r="P160" i="1"/>
  <c r="O160" i="1"/>
  <c r="N160" i="1"/>
  <c r="M160" i="1"/>
  <c r="U159" i="1"/>
  <c r="T159" i="1"/>
  <c r="R159" i="1"/>
  <c r="Q159" i="1"/>
  <c r="P159" i="1"/>
  <c r="O159" i="1"/>
  <c r="N159" i="1"/>
  <c r="M159" i="1"/>
  <c r="U158" i="1"/>
  <c r="T158" i="1"/>
  <c r="R158" i="1"/>
  <c r="Q158" i="1"/>
  <c r="P158" i="1"/>
  <c r="O158" i="1"/>
  <c r="N158" i="1"/>
  <c r="M158" i="1"/>
  <c r="U157" i="1"/>
  <c r="T157" i="1"/>
  <c r="R157" i="1"/>
  <c r="Q157" i="1"/>
  <c r="P157" i="1"/>
  <c r="O157" i="1"/>
  <c r="N157" i="1"/>
  <c r="M157" i="1"/>
  <c r="U156" i="1"/>
  <c r="T156" i="1"/>
  <c r="R156" i="1"/>
  <c r="Q156" i="1"/>
  <c r="P156" i="1"/>
  <c r="O156" i="1"/>
  <c r="N156" i="1"/>
  <c r="M156" i="1"/>
  <c r="U155" i="1"/>
  <c r="T155" i="1"/>
  <c r="R155" i="1"/>
  <c r="Q155" i="1"/>
  <c r="P155" i="1"/>
  <c r="O155" i="1"/>
  <c r="N155" i="1"/>
  <c r="M155" i="1"/>
  <c r="U154" i="1"/>
  <c r="T154" i="1"/>
  <c r="R154" i="1"/>
  <c r="Q154" i="1"/>
  <c r="P154" i="1"/>
  <c r="O154" i="1"/>
  <c r="N154" i="1"/>
  <c r="M154" i="1"/>
  <c r="U153" i="1"/>
  <c r="T153" i="1"/>
  <c r="R153" i="1"/>
  <c r="Q153" i="1"/>
  <c r="P153" i="1"/>
  <c r="O153" i="1"/>
  <c r="N153" i="1"/>
  <c r="M153" i="1"/>
  <c r="U152" i="1"/>
  <c r="T152" i="1"/>
  <c r="R152" i="1"/>
  <c r="Q152" i="1"/>
  <c r="P152" i="1"/>
  <c r="O152" i="1"/>
  <c r="N152" i="1"/>
  <c r="M152" i="1"/>
  <c r="U151" i="1"/>
  <c r="T151" i="1"/>
  <c r="R151" i="1"/>
  <c r="Q151" i="1"/>
  <c r="P151" i="1"/>
  <c r="O151" i="1"/>
  <c r="N151" i="1"/>
  <c r="M151" i="1"/>
  <c r="U150" i="1"/>
  <c r="T150" i="1"/>
  <c r="R150" i="1"/>
  <c r="Q150" i="1"/>
  <c r="P150" i="1"/>
  <c r="O150" i="1"/>
  <c r="N150" i="1"/>
  <c r="M150" i="1"/>
  <c r="U149" i="1"/>
  <c r="T149" i="1"/>
  <c r="R149" i="1"/>
  <c r="Q149" i="1"/>
  <c r="P149" i="1"/>
  <c r="O149" i="1"/>
  <c r="N149" i="1"/>
  <c r="M149" i="1"/>
  <c r="U148" i="1"/>
  <c r="T148" i="1"/>
  <c r="R148" i="1"/>
  <c r="Q148" i="1"/>
  <c r="P148" i="1"/>
  <c r="O148" i="1"/>
  <c r="N148" i="1"/>
  <c r="M148" i="1"/>
  <c r="U147" i="1"/>
  <c r="T147" i="1"/>
  <c r="R147" i="1"/>
  <c r="Q147" i="1"/>
  <c r="P147" i="1"/>
  <c r="O147" i="1"/>
  <c r="N147" i="1"/>
  <c r="M147" i="1"/>
  <c r="U146" i="1"/>
  <c r="T146" i="1"/>
  <c r="R146" i="1"/>
  <c r="Q146" i="1"/>
  <c r="P146" i="1"/>
  <c r="O146" i="1"/>
  <c r="N146" i="1"/>
  <c r="M146" i="1"/>
  <c r="U145" i="1"/>
  <c r="T145" i="1"/>
  <c r="R145" i="1"/>
  <c r="Q145" i="1"/>
  <c r="P145" i="1"/>
  <c r="O145" i="1"/>
  <c r="N145" i="1"/>
  <c r="M145" i="1"/>
  <c r="U144" i="1"/>
  <c r="T144" i="1"/>
  <c r="R144" i="1"/>
  <c r="Q144" i="1"/>
  <c r="P144" i="1"/>
  <c r="O144" i="1"/>
  <c r="N144" i="1"/>
  <c r="M144" i="1"/>
  <c r="U143" i="1"/>
  <c r="T143" i="1"/>
  <c r="R143" i="1"/>
  <c r="Q143" i="1"/>
  <c r="P143" i="1"/>
  <c r="O143" i="1"/>
  <c r="N143" i="1"/>
  <c r="M143" i="1"/>
  <c r="U142" i="1"/>
  <c r="T142" i="1"/>
  <c r="R142" i="1"/>
  <c r="Q142" i="1"/>
  <c r="P142" i="1"/>
  <c r="O142" i="1"/>
  <c r="N142" i="1"/>
  <c r="M142" i="1"/>
  <c r="U141" i="1"/>
  <c r="T141" i="1"/>
  <c r="R141" i="1"/>
  <c r="Q141" i="1"/>
  <c r="P141" i="1"/>
  <c r="O141" i="1"/>
  <c r="N141" i="1"/>
  <c r="M141" i="1"/>
  <c r="U140" i="1"/>
  <c r="T140" i="1"/>
  <c r="R140" i="1"/>
  <c r="Q140" i="1"/>
  <c r="P140" i="1"/>
  <c r="O140" i="1"/>
  <c r="N140" i="1"/>
  <c r="M140" i="1"/>
  <c r="U139" i="1"/>
  <c r="T139" i="1"/>
  <c r="R139" i="1"/>
  <c r="Q139" i="1"/>
  <c r="P139" i="1"/>
  <c r="O139" i="1"/>
  <c r="N139" i="1"/>
  <c r="M139" i="1"/>
  <c r="U138" i="1"/>
  <c r="T138" i="1"/>
  <c r="R138" i="1"/>
  <c r="Q138" i="1"/>
  <c r="P138" i="1"/>
  <c r="O138" i="1"/>
  <c r="N138" i="1"/>
  <c r="M138" i="1"/>
  <c r="U137" i="1"/>
  <c r="T137" i="1"/>
  <c r="R137" i="1"/>
  <c r="Q137" i="1"/>
  <c r="P137" i="1"/>
  <c r="O137" i="1"/>
  <c r="N137" i="1"/>
  <c r="M137" i="1"/>
  <c r="U136" i="1"/>
  <c r="T136" i="1"/>
  <c r="R136" i="1"/>
  <c r="Q136" i="1"/>
  <c r="P136" i="1"/>
  <c r="O136" i="1"/>
  <c r="N136" i="1"/>
  <c r="M136" i="1"/>
  <c r="U135" i="1"/>
  <c r="T135" i="1"/>
  <c r="R135" i="1"/>
  <c r="Q135" i="1"/>
  <c r="P135" i="1"/>
  <c r="O135" i="1"/>
  <c r="N135" i="1"/>
  <c r="M135" i="1"/>
  <c r="U134" i="1"/>
  <c r="T134" i="1"/>
  <c r="R134" i="1"/>
  <c r="Q134" i="1"/>
  <c r="P134" i="1"/>
  <c r="O134" i="1"/>
  <c r="N134" i="1"/>
  <c r="M134" i="1"/>
  <c r="U133" i="1"/>
  <c r="T133" i="1"/>
  <c r="R133" i="1"/>
  <c r="Q133" i="1"/>
  <c r="P133" i="1"/>
  <c r="O133" i="1"/>
  <c r="N133" i="1"/>
  <c r="M133" i="1"/>
  <c r="U132" i="1"/>
  <c r="T132" i="1"/>
  <c r="R132" i="1"/>
  <c r="Q132" i="1"/>
  <c r="P132" i="1"/>
  <c r="O132" i="1"/>
  <c r="N132" i="1"/>
  <c r="M132" i="1"/>
  <c r="U131" i="1"/>
  <c r="T131" i="1"/>
  <c r="R131" i="1"/>
  <c r="Q131" i="1"/>
  <c r="P131" i="1"/>
  <c r="O131" i="1"/>
  <c r="N131" i="1"/>
  <c r="M131" i="1"/>
  <c r="U130" i="1"/>
  <c r="T130" i="1"/>
  <c r="R130" i="1"/>
  <c r="Q130" i="1"/>
  <c r="P130" i="1"/>
  <c r="O130" i="1"/>
  <c r="N130" i="1"/>
  <c r="M130" i="1"/>
  <c r="U129" i="1"/>
  <c r="T129" i="1"/>
  <c r="R129" i="1"/>
  <c r="Q129" i="1"/>
  <c r="P129" i="1"/>
  <c r="O129" i="1"/>
  <c r="N129" i="1"/>
  <c r="M129" i="1"/>
  <c r="U128" i="1"/>
  <c r="T128" i="1"/>
  <c r="R128" i="1"/>
  <c r="Q128" i="1"/>
  <c r="P128" i="1"/>
  <c r="O128" i="1"/>
  <c r="N128" i="1"/>
  <c r="M128" i="1"/>
  <c r="U127" i="1"/>
  <c r="T127" i="1"/>
  <c r="R127" i="1"/>
  <c r="Q127" i="1"/>
  <c r="P127" i="1"/>
  <c r="O127" i="1"/>
  <c r="N127" i="1"/>
  <c r="M127" i="1"/>
  <c r="U126" i="1"/>
  <c r="T126" i="1"/>
  <c r="R126" i="1"/>
  <c r="Q126" i="1"/>
  <c r="P126" i="1"/>
  <c r="O126" i="1"/>
  <c r="N126" i="1"/>
  <c r="M126" i="1"/>
  <c r="U125" i="1"/>
  <c r="T125" i="1"/>
  <c r="R125" i="1"/>
  <c r="Q125" i="1"/>
  <c r="P125" i="1"/>
  <c r="O125" i="1"/>
  <c r="N125" i="1"/>
  <c r="M125" i="1"/>
  <c r="U124" i="1"/>
  <c r="T124" i="1"/>
  <c r="R124" i="1"/>
  <c r="Q124" i="1"/>
  <c r="P124" i="1"/>
  <c r="O124" i="1"/>
  <c r="N124" i="1"/>
  <c r="M124" i="1"/>
  <c r="U123" i="1"/>
  <c r="T123" i="1"/>
  <c r="R123" i="1"/>
  <c r="Q123" i="1"/>
  <c r="P123" i="1"/>
  <c r="O123" i="1"/>
  <c r="N123" i="1"/>
  <c r="M123" i="1"/>
  <c r="U122" i="1"/>
  <c r="T122" i="1"/>
  <c r="R122" i="1"/>
  <c r="Q122" i="1"/>
  <c r="P122" i="1"/>
  <c r="O122" i="1"/>
  <c r="N122" i="1"/>
  <c r="M122" i="1"/>
  <c r="U121" i="1"/>
  <c r="T121" i="1"/>
  <c r="R121" i="1"/>
  <c r="Q121" i="1"/>
  <c r="P121" i="1"/>
  <c r="O121" i="1"/>
  <c r="N121" i="1"/>
  <c r="M121" i="1"/>
  <c r="U120" i="1"/>
  <c r="T120" i="1"/>
  <c r="R120" i="1"/>
  <c r="Q120" i="1"/>
  <c r="P120" i="1"/>
  <c r="O120" i="1"/>
  <c r="N120" i="1"/>
  <c r="M120" i="1"/>
  <c r="U119" i="1"/>
  <c r="T119" i="1"/>
  <c r="R119" i="1"/>
  <c r="Q119" i="1"/>
  <c r="P119" i="1"/>
  <c r="O119" i="1"/>
  <c r="N119" i="1"/>
  <c r="M119" i="1"/>
  <c r="U118" i="1"/>
  <c r="T118" i="1"/>
  <c r="R118" i="1"/>
  <c r="Q118" i="1"/>
  <c r="P118" i="1"/>
  <c r="O118" i="1"/>
  <c r="N118" i="1"/>
  <c r="M118" i="1"/>
  <c r="U117" i="1"/>
  <c r="T117" i="1"/>
  <c r="S117" i="1"/>
  <c r="R117" i="1"/>
  <c r="Q117" i="1"/>
  <c r="P117" i="1"/>
  <c r="O117" i="1"/>
  <c r="N117" i="1"/>
  <c r="M117" i="1"/>
  <c r="U116" i="1"/>
  <c r="T116" i="1"/>
  <c r="S116" i="1"/>
  <c r="R116" i="1"/>
  <c r="Q116" i="1"/>
  <c r="P116" i="1"/>
  <c r="O116" i="1"/>
  <c r="N116" i="1"/>
  <c r="M116" i="1"/>
  <c r="U115" i="1"/>
  <c r="T115" i="1"/>
  <c r="S115" i="1"/>
  <c r="R115" i="1"/>
  <c r="Q115" i="1"/>
  <c r="P115" i="1"/>
  <c r="O115" i="1"/>
  <c r="N115" i="1"/>
  <c r="M115" i="1"/>
  <c r="U114" i="1"/>
  <c r="T114" i="1"/>
  <c r="S114" i="1"/>
  <c r="R114" i="1"/>
  <c r="Q114" i="1"/>
  <c r="P114" i="1"/>
  <c r="O114" i="1"/>
  <c r="N114" i="1"/>
  <c r="M114" i="1"/>
  <c r="U113" i="1"/>
  <c r="T113" i="1"/>
  <c r="S113" i="1"/>
  <c r="R113" i="1"/>
  <c r="Q113" i="1"/>
  <c r="P113" i="1"/>
  <c r="O113" i="1"/>
  <c r="N113" i="1"/>
  <c r="M113" i="1"/>
  <c r="U112" i="1"/>
  <c r="T112" i="1"/>
  <c r="S112" i="1"/>
  <c r="R112" i="1"/>
  <c r="Q112" i="1"/>
  <c r="P112" i="1"/>
  <c r="O112" i="1"/>
  <c r="N112" i="1"/>
  <c r="M112" i="1"/>
  <c r="U111" i="1"/>
  <c r="T111" i="1"/>
  <c r="S111" i="1"/>
  <c r="R111" i="1"/>
  <c r="Q111" i="1"/>
  <c r="P111" i="1"/>
  <c r="O111" i="1"/>
  <c r="N111" i="1"/>
  <c r="M111" i="1"/>
  <c r="U110" i="1"/>
  <c r="T110" i="1"/>
  <c r="S110" i="1"/>
  <c r="R110" i="1"/>
  <c r="Q110" i="1"/>
  <c r="P110" i="1"/>
  <c r="O110" i="1"/>
  <c r="N110" i="1"/>
  <c r="M110" i="1"/>
  <c r="U109" i="1"/>
  <c r="T109" i="1"/>
  <c r="S109" i="1"/>
  <c r="R109" i="1"/>
  <c r="Q109" i="1"/>
  <c r="P109" i="1"/>
  <c r="O109" i="1"/>
  <c r="N109" i="1"/>
  <c r="M109" i="1"/>
  <c r="U108" i="1"/>
  <c r="T108" i="1"/>
  <c r="S108" i="1"/>
  <c r="R108" i="1"/>
  <c r="Q108" i="1"/>
  <c r="P108" i="1"/>
  <c r="O108" i="1"/>
  <c r="N108" i="1"/>
  <c r="M108" i="1"/>
  <c r="U107" i="1"/>
  <c r="T107" i="1"/>
  <c r="S107" i="1"/>
  <c r="R107" i="1"/>
  <c r="Q107" i="1"/>
  <c r="P107" i="1"/>
  <c r="O107" i="1"/>
  <c r="N107" i="1"/>
  <c r="M107" i="1"/>
  <c r="U106" i="1"/>
  <c r="T106" i="1"/>
  <c r="S106" i="1"/>
  <c r="R106" i="1"/>
  <c r="Q106" i="1"/>
  <c r="P106" i="1"/>
  <c r="O106" i="1"/>
  <c r="N106" i="1"/>
  <c r="M106" i="1"/>
  <c r="U105" i="1"/>
  <c r="T105" i="1"/>
  <c r="S105" i="1"/>
  <c r="R105" i="1"/>
  <c r="Q105" i="1"/>
  <c r="P105" i="1"/>
  <c r="O105" i="1"/>
  <c r="N105" i="1"/>
  <c r="M105" i="1"/>
  <c r="U104" i="1"/>
  <c r="T104" i="1"/>
  <c r="S104" i="1"/>
  <c r="R104" i="1"/>
  <c r="Q104" i="1"/>
  <c r="P104" i="1"/>
  <c r="O104" i="1"/>
  <c r="N104" i="1"/>
  <c r="M104" i="1"/>
  <c r="U103" i="1"/>
  <c r="T103" i="1"/>
  <c r="S103" i="1"/>
  <c r="R103" i="1"/>
  <c r="Q103" i="1"/>
  <c r="P103" i="1"/>
  <c r="O103" i="1"/>
  <c r="N103" i="1"/>
  <c r="M103" i="1"/>
  <c r="U102" i="1"/>
  <c r="T102" i="1"/>
  <c r="S102" i="1"/>
  <c r="R102" i="1"/>
  <c r="Q102" i="1"/>
  <c r="P102" i="1"/>
  <c r="O102" i="1"/>
  <c r="N102" i="1"/>
  <c r="M102" i="1"/>
  <c r="U101" i="1"/>
  <c r="T101" i="1"/>
  <c r="S101" i="1"/>
  <c r="R101" i="1"/>
  <c r="Q101" i="1"/>
  <c r="P101" i="1"/>
  <c r="O101" i="1"/>
  <c r="N101" i="1"/>
  <c r="M101" i="1"/>
  <c r="U100" i="1"/>
  <c r="T100" i="1"/>
  <c r="S100" i="1"/>
  <c r="R100" i="1"/>
  <c r="Q100" i="1"/>
  <c r="P100" i="1"/>
  <c r="O100" i="1"/>
  <c r="N100" i="1"/>
  <c r="M100" i="1"/>
  <c r="U99" i="1"/>
  <c r="T99" i="1"/>
  <c r="S99" i="1"/>
  <c r="R99" i="1"/>
  <c r="Q99" i="1"/>
  <c r="P99" i="1"/>
  <c r="O99" i="1"/>
  <c r="N99" i="1"/>
  <c r="M99" i="1"/>
  <c r="U98" i="1"/>
  <c r="T98" i="1"/>
  <c r="S98" i="1"/>
  <c r="R98" i="1"/>
  <c r="Q98" i="1"/>
  <c r="P98" i="1"/>
  <c r="O98" i="1"/>
  <c r="N98" i="1"/>
  <c r="M98" i="1"/>
  <c r="U97" i="1"/>
  <c r="T97" i="1"/>
  <c r="S97" i="1"/>
  <c r="R97" i="1"/>
  <c r="Q97" i="1"/>
  <c r="P97" i="1"/>
  <c r="O97" i="1"/>
  <c r="N97" i="1"/>
  <c r="M97" i="1"/>
  <c r="U96" i="1"/>
  <c r="T96" i="1"/>
  <c r="S96" i="1"/>
  <c r="R96" i="1"/>
  <c r="Q96" i="1"/>
  <c r="P96" i="1"/>
  <c r="O96" i="1"/>
  <c r="N96" i="1"/>
  <c r="M96" i="1"/>
  <c r="U95" i="1"/>
  <c r="T95" i="1"/>
  <c r="S95" i="1"/>
  <c r="R95" i="1"/>
  <c r="Q95" i="1"/>
  <c r="P95" i="1"/>
  <c r="O95" i="1"/>
  <c r="N95" i="1"/>
  <c r="M95" i="1"/>
  <c r="U94" i="1"/>
  <c r="T94" i="1"/>
  <c r="S94" i="1"/>
  <c r="R94" i="1"/>
  <c r="Q94" i="1"/>
  <c r="P94" i="1"/>
  <c r="O94" i="1"/>
  <c r="N94" i="1"/>
  <c r="M94" i="1"/>
  <c r="U93" i="1"/>
  <c r="T93" i="1"/>
  <c r="S93" i="1"/>
  <c r="R93" i="1"/>
  <c r="Q93" i="1"/>
  <c r="P93" i="1"/>
  <c r="O93" i="1"/>
  <c r="N93" i="1"/>
  <c r="M93" i="1"/>
  <c r="U92" i="1"/>
  <c r="T92" i="1"/>
  <c r="S92" i="1"/>
  <c r="R92" i="1"/>
  <c r="Q92" i="1"/>
  <c r="P92" i="1"/>
  <c r="O92" i="1"/>
  <c r="N92" i="1"/>
  <c r="M92" i="1"/>
  <c r="U91" i="1"/>
  <c r="T91" i="1"/>
  <c r="S91" i="1"/>
  <c r="R91" i="1"/>
  <c r="Q91" i="1"/>
  <c r="P91" i="1"/>
  <c r="O91" i="1"/>
  <c r="N91" i="1"/>
  <c r="M91" i="1"/>
  <c r="U90" i="1"/>
  <c r="T90" i="1"/>
  <c r="S90" i="1"/>
  <c r="R90" i="1"/>
  <c r="Q90" i="1"/>
  <c r="P90" i="1"/>
  <c r="O90" i="1"/>
  <c r="N90" i="1"/>
  <c r="M90" i="1"/>
  <c r="U89" i="1"/>
  <c r="T89" i="1"/>
  <c r="S89" i="1"/>
  <c r="R89" i="1"/>
  <c r="Q89" i="1"/>
  <c r="P89" i="1"/>
  <c r="O89" i="1"/>
  <c r="N89" i="1"/>
  <c r="M89" i="1"/>
  <c r="U88" i="1"/>
  <c r="T88" i="1"/>
  <c r="S88" i="1"/>
  <c r="R88" i="1"/>
  <c r="Q88" i="1"/>
  <c r="P88" i="1"/>
  <c r="O88" i="1"/>
  <c r="N88" i="1"/>
  <c r="M88" i="1"/>
  <c r="U87" i="1"/>
  <c r="T87" i="1"/>
  <c r="S87" i="1"/>
  <c r="R87" i="1"/>
  <c r="Q87" i="1"/>
  <c r="P87" i="1"/>
  <c r="O87" i="1"/>
  <c r="N87" i="1"/>
  <c r="M87" i="1"/>
  <c r="U86" i="1"/>
  <c r="T86" i="1"/>
  <c r="S86" i="1"/>
  <c r="R86" i="1"/>
  <c r="Q86" i="1"/>
  <c r="P86" i="1"/>
  <c r="O86" i="1"/>
  <c r="N86" i="1"/>
  <c r="M86" i="1"/>
  <c r="U85" i="1"/>
  <c r="T85" i="1"/>
  <c r="S85" i="1"/>
  <c r="R85" i="1"/>
  <c r="Q85" i="1"/>
  <c r="P85" i="1"/>
  <c r="O85" i="1"/>
  <c r="N85" i="1"/>
  <c r="M85" i="1"/>
  <c r="U84" i="1"/>
  <c r="T84" i="1"/>
  <c r="S84" i="1"/>
  <c r="R84" i="1"/>
  <c r="Q84" i="1"/>
  <c r="P84" i="1"/>
  <c r="O84" i="1"/>
  <c r="N84" i="1"/>
  <c r="M84" i="1"/>
  <c r="U83" i="1"/>
  <c r="T83" i="1"/>
  <c r="S83" i="1"/>
  <c r="R83" i="1"/>
  <c r="Q83" i="1"/>
  <c r="P83" i="1"/>
  <c r="O83" i="1"/>
  <c r="N83" i="1"/>
  <c r="M83" i="1"/>
  <c r="U82" i="1"/>
  <c r="T82" i="1"/>
  <c r="S82" i="1"/>
  <c r="R82" i="1"/>
  <c r="Q82" i="1"/>
  <c r="P82" i="1"/>
  <c r="O82" i="1"/>
  <c r="N82" i="1"/>
  <c r="M82" i="1"/>
  <c r="U81" i="1"/>
  <c r="T81" i="1"/>
  <c r="S81" i="1"/>
  <c r="R81" i="1"/>
  <c r="Q81" i="1"/>
  <c r="P81" i="1"/>
  <c r="O81" i="1"/>
  <c r="N81" i="1"/>
  <c r="M81" i="1"/>
  <c r="U80" i="1"/>
  <c r="T80" i="1"/>
  <c r="S80" i="1"/>
  <c r="R80" i="1"/>
  <c r="Q80" i="1"/>
  <c r="P80" i="1"/>
  <c r="O80" i="1"/>
  <c r="N80" i="1"/>
  <c r="M80" i="1"/>
  <c r="U79" i="1"/>
  <c r="T79" i="1"/>
  <c r="S79" i="1"/>
  <c r="R79" i="1"/>
  <c r="Q79" i="1"/>
  <c r="P79" i="1"/>
  <c r="O79" i="1"/>
  <c r="N79" i="1"/>
  <c r="M79" i="1"/>
  <c r="U78" i="1"/>
  <c r="T78" i="1"/>
  <c r="S78" i="1"/>
  <c r="R78" i="1"/>
  <c r="Q78" i="1"/>
  <c r="P78" i="1"/>
  <c r="O78" i="1"/>
  <c r="N78" i="1"/>
  <c r="M78" i="1"/>
  <c r="U77" i="1"/>
  <c r="T77" i="1"/>
  <c r="S77" i="1"/>
  <c r="R77" i="1"/>
  <c r="Q77" i="1"/>
  <c r="P77" i="1"/>
  <c r="O77" i="1"/>
  <c r="N77" i="1"/>
  <c r="M77" i="1"/>
  <c r="U76" i="1"/>
  <c r="T76" i="1"/>
  <c r="S76" i="1"/>
  <c r="R76" i="1"/>
  <c r="Q76" i="1"/>
  <c r="P76" i="1"/>
  <c r="O76" i="1"/>
  <c r="N76" i="1"/>
  <c r="M76" i="1"/>
  <c r="U75" i="1"/>
  <c r="T75" i="1"/>
  <c r="S75" i="1"/>
  <c r="R75" i="1"/>
  <c r="Q75" i="1"/>
  <c r="P75" i="1"/>
  <c r="O75" i="1"/>
  <c r="N75" i="1"/>
  <c r="M75" i="1"/>
  <c r="BA74" i="1" a="1"/>
  <c r="BA78" i="1" s="1"/>
  <c r="U74" i="1"/>
  <c r="T74" i="1"/>
  <c r="S74" i="1"/>
  <c r="R74" i="1"/>
  <c r="Q74" i="1"/>
  <c r="P74" i="1"/>
  <c r="O74" i="1"/>
  <c r="N74" i="1"/>
  <c r="M74" i="1"/>
  <c r="U73" i="1"/>
  <c r="T73" i="1"/>
  <c r="S73" i="1"/>
  <c r="R73" i="1"/>
  <c r="Q73" i="1"/>
  <c r="P73" i="1"/>
  <c r="O73" i="1"/>
  <c r="N73" i="1"/>
  <c r="M73" i="1"/>
  <c r="U72" i="1"/>
  <c r="T72" i="1"/>
  <c r="S72" i="1"/>
  <c r="R72" i="1"/>
  <c r="Q72" i="1"/>
  <c r="P72" i="1"/>
  <c r="O72" i="1"/>
  <c r="N72" i="1"/>
  <c r="M72" i="1"/>
  <c r="U71" i="1"/>
  <c r="T71" i="1"/>
  <c r="S71" i="1"/>
  <c r="R71" i="1"/>
  <c r="Q71" i="1"/>
  <c r="P71" i="1"/>
  <c r="O71" i="1"/>
  <c r="N71" i="1"/>
  <c r="M71" i="1"/>
  <c r="AP70" i="1"/>
  <c r="U70" i="1"/>
  <c r="T70" i="1"/>
  <c r="S70" i="1"/>
  <c r="R70" i="1"/>
  <c r="Q70" i="1"/>
  <c r="P70" i="1"/>
  <c r="O70" i="1"/>
  <c r="N70" i="1"/>
  <c r="M70" i="1"/>
  <c r="AZ69" i="1"/>
  <c r="AP69" i="1"/>
  <c r="U69" i="1"/>
  <c r="T69" i="1"/>
  <c r="S69" i="1"/>
  <c r="R69" i="1"/>
  <c r="Q69" i="1"/>
  <c r="P69" i="1"/>
  <c r="O69" i="1"/>
  <c r="N69" i="1"/>
  <c r="M69" i="1"/>
  <c r="AZ68" i="1"/>
  <c r="AP68" i="1"/>
  <c r="U68" i="1"/>
  <c r="T68" i="1"/>
  <c r="S68" i="1"/>
  <c r="R68" i="1"/>
  <c r="Q68" i="1"/>
  <c r="P68" i="1"/>
  <c r="O68" i="1"/>
  <c r="N68" i="1"/>
  <c r="M68" i="1"/>
  <c r="AZ67" i="1"/>
  <c r="AZ70" i="1" s="1"/>
  <c r="AP67" i="1"/>
  <c r="U67" i="1"/>
  <c r="T67" i="1"/>
  <c r="S67" i="1"/>
  <c r="R67" i="1"/>
  <c r="Q67" i="1"/>
  <c r="P67" i="1"/>
  <c r="O67" i="1"/>
  <c r="N67" i="1"/>
  <c r="M67" i="1"/>
  <c r="AZ66" i="1"/>
  <c r="AP66" i="1"/>
  <c r="U66" i="1"/>
  <c r="T66" i="1"/>
  <c r="S66" i="1"/>
  <c r="R66" i="1"/>
  <c r="Q66" i="1"/>
  <c r="P66" i="1"/>
  <c r="O66" i="1"/>
  <c r="N66" i="1"/>
  <c r="M66" i="1"/>
  <c r="AZ65" i="1"/>
  <c r="AP65" i="1"/>
  <c r="AQ74" i="1" s="1" a="1"/>
  <c r="U65" i="1"/>
  <c r="T65" i="1"/>
  <c r="S65" i="1"/>
  <c r="R65" i="1"/>
  <c r="Q65" i="1"/>
  <c r="P65" i="1"/>
  <c r="O65" i="1"/>
  <c r="N65" i="1"/>
  <c r="M65" i="1"/>
  <c r="U64" i="1"/>
  <c r="T64" i="1"/>
  <c r="S64" i="1"/>
  <c r="R64" i="1"/>
  <c r="Q64" i="1"/>
  <c r="P64" i="1"/>
  <c r="O64" i="1"/>
  <c r="N64" i="1"/>
  <c r="M64" i="1"/>
  <c r="U63" i="1"/>
  <c r="T63" i="1"/>
  <c r="S63" i="1"/>
  <c r="R63" i="1"/>
  <c r="Q63" i="1"/>
  <c r="P63" i="1"/>
  <c r="O63" i="1"/>
  <c r="N63" i="1"/>
  <c r="M63" i="1"/>
  <c r="U62" i="1"/>
  <c r="T62" i="1"/>
  <c r="S62" i="1"/>
  <c r="R62" i="1"/>
  <c r="Q62" i="1"/>
  <c r="P62" i="1"/>
  <c r="O62" i="1"/>
  <c r="N62" i="1"/>
  <c r="M62" i="1"/>
  <c r="U61" i="1"/>
  <c r="T61" i="1"/>
  <c r="S61" i="1"/>
  <c r="R61" i="1"/>
  <c r="Q61" i="1"/>
  <c r="P61" i="1"/>
  <c r="O61" i="1"/>
  <c r="N61" i="1"/>
  <c r="M61" i="1"/>
  <c r="U60" i="1"/>
  <c r="T60" i="1"/>
  <c r="S60" i="1"/>
  <c r="R60" i="1"/>
  <c r="Q60" i="1"/>
  <c r="P60" i="1"/>
  <c r="O60" i="1"/>
  <c r="N60" i="1"/>
  <c r="M60" i="1"/>
  <c r="U59" i="1"/>
  <c r="T59" i="1"/>
  <c r="S59" i="1"/>
  <c r="R59" i="1"/>
  <c r="Q59" i="1"/>
  <c r="P59" i="1"/>
  <c r="O59" i="1"/>
  <c r="N59" i="1"/>
  <c r="M59" i="1"/>
  <c r="U58" i="1"/>
  <c r="T58" i="1"/>
  <c r="S58" i="1"/>
  <c r="R58" i="1"/>
  <c r="Q58" i="1"/>
  <c r="P58" i="1"/>
  <c r="O58" i="1"/>
  <c r="N58" i="1"/>
  <c r="M58" i="1"/>
  <c r="U57" i="1"/>
  <c r="T57" i="1"/>
  <c r="S57" i="1"/>
  <c r="R57" i="1"/>
  <c r="Q57" i="1"/>
  <c r="P57" i="1"/>
  <c r="O57" i="1"/>
  <c r="N57" i="1"/>
  <c r="M57" i="1"/>
  <c r="U56" i="1"/>
  <c r="T56" i="1"/>
  <c r="S56" i="1"/>
  <c r="R56" i="1"/>
  <c r="Q56" i="1"/>
  <c r="P56" i="1"/>
  <c r="O56" i="1"/>
  <c r="N56" i="1"/>
  <c r="M56" i="1"/>
  <c r="U55" i="1"/>
  <c r="T55" i="1"/>
  <c r="S55" i="1"/>
  <c r="R55" i="1"/>
  <c r="Q55" i="1"/>
  <c r="P55" i="1"/>
  <c r="O55" i="1"/>
  <c r="N55" i="1"/>
  <c r="M55" i="1"/>
  <c r="U54" i="1"/>
  <c r="T54" i="1"/>
  <c r="S54" i="1"/>
  <c r="R54" i="1"/>
  <c r="Q54" i="1"/>
  <c r="P54" i="1"/>
  <c r="O54" i="1"/>
  <c r="N54" i="1"/>
  <c r="M54" i="1"/>
  <c r="U53" i="1"/>
  <c r="T53" i="1"/>
  <c r="S53" i="1"/>
  <c r="R53" i="1"/>
  <c r="Q53" i="1"/>
  <c r="P53" i="1"/>
  <c r="O53" i="1"/>
  <c r="N53" i="1"/>
  <c r="M53" i="1"/>
  <c r="U52" i="1"/>
  <c r="T52" i="1"/>
  <c r="S52" i="1"/>
  <c r="R52" i="1"/>
  <c r="Q52" i="1"/>
  <c r="P52" i="1"/>
  <c r="O52" i="1"/>
  <c r="N52" i="1"/>
  <c r="M52" i="1"/>
  <c r="U51" i="1"/>
  <c r="T51" i="1"/>
  <c r="S51" i="1"/>
  <c r="R51" i="1"/>
  <c r="Q51" i="1"/>
  <c r="P51" i="1"/>
  <c r="O51" i="1"/>
  <c r="N51" i="1"/>
  <c r="M51" i="1"/>
  <c r="U50" i="1"/>
  <c r="T50" i="1"/>
  <c r="S50" i="1"/>
  <c r="R50" i="1"/>
  <c r="Q50" i="1"/>
  <c r="P50" i="1"/>
  <c r="O50" i="1"/>
  <c r="N50" i="1"/>
  <c r="M50" i="1"/>
  <c r="U49" i="1"/>
  <c r="T49" i="1"/>
  <c r="S49" i="1"/>
  <c r="R49" i="1"/>
  <c r="Q49" i="1"/>
  <c r="P49" i="1"/>
  <c r="O49" i="1"/>
  <c r="N49" i="1"/>
  <c r="M49" i="1"/>
  <c r="U48" i="1"/>
  <c r="T48" i="1"/>
  <c r="S48" i="1"/>
  <c r="R48" i="1"/>
  <c r="Q48" i="1"/>
  <c r="P48" i="1"/>
  <c r="O48" i="1"/>
  <c r="N48" i="1"/>
  <c r="M48" i="1"/>
  <c r="U47" i="1"/>
  <c r="T47" i="1"/>
  <c r="S47" i="1"/>
  <c r="R47" i="1"/>
  <c r="Q47" i="1"/>
  <c r="P47" i="1"/>
  <c r="O47" i="1"/>
  <c r="N47" i="1"/>
  <c r="M47" i="1"/>
  <c r="U46" i="1"/>
  <c r="T46" i="1"/>
  <c r="S46" i="1"/>
  <c r="R46" i="1"/>
  <c r="Q46" i="1"/>
  <c r="P46" i="1"/>
  <c r="O46" i="1"/>
  <c r="N46" i="1"/>
  <c r="M46" i="1"/>
  <c r="U45" i="1"/>
  <c r="T45" i="1"/>
  <c r="S45" i="1"/>
  <c r="R45" i="1"/>
  <c r="Q45" i="1"/>
  <c r="P45" i="1"/>
  <c r="O45" i="1"/>
  <c r="N45" i="1"/>
  <c r="M45" i="1"/>
  <c r="U44" i="1"/>
  <c r="T44" i="1"/>
  <c r="S44" i="1"/>
  <c r="R44" i="1"/>
  <c r="Q44" i="1"/>
  <c r="P44" i="1"/>
  <c r="O44" i="1"/>
  <c r="N44" i="1"/>
  <c r="M44" i="1"/>
  <c r="U43" i="1"/>
  <c r="T43" i="1"/>
  <c r="S43" i="1"/>
  <c r="R43" i="1"/>
  <c r="Q43" i="1"/>
  <c r="P43" i="1"/>
  <c r="O43" i="1"/>
  <c r="N43" i="1"/>
  <c r="M43" i="1"/>
  <c r="U42" i="1"/>
  <c r="T42" i="1"/>
  <c r="S42" i="1"/>
  <c r="R42" i="1"/>
  <c r="Q42" i="1"/>
  <c r="P42" i="1"/>
  <c r="O42" i="1"/>
  <c r="N42" i="1"/>
  <c r="M42" i="1"/>
  <c r="U41" i="1"/>
  <c r="T41" i="1"/>
  <c r="S41" i="1"/>
  <c r="R41" i="1"/>
  <c r="Q41" i="1"/>
  <c r="P41" i="1"/>
  <c r="O41" i="1"/>
  <c r="N41" i="1"/>
  <c r="M41" i="1"/>
  <c r="U40" i="1"/>
  <c r="T40" i="1"/>
  <c r="S40" i="1"/>
  <c r="R40" i="1"/>
  <c r="Q40" i="1"/>
  <c r="P40" i="1"/>
  <c r="O40" i="1"/>
  <c r="N40" i="1"/>
  <c r="M40" i="1"/>
  <c r="U39" i="1"/>
  <c r="T39" i="1"/>
  <c r="S39" i="1"/>
  <c r="R39" i="1"/>
  <c r="Q39" i="1"/>
  <c r="P39" i="1"/>
  <c r="O39" i="1"/>
  <c r="N39" i="1"/>
  <c r="M39" i="1"/>
  <c r="U38" i="1"/>
  <c r="T38" i="1"/>
  <c r="S38" i="1"/>
  <c r="R38" i="1"/>
  <c r="Q38" i="1"/>
  <c r="P38" i="1"/>
  <c r="O38" i="1"/>
  <c r="N38" i="1"/>
  <c r="M38" i="1"/>
  <c r="U37" i="1"/>
  <c r="T37" i="1"/>
  <c r="S37" i="1"/>
  <c r="R37" i="1"/>
  <c r="Q37" i="1"/>
  <c r="P37" i="1"/>
  <c r="O37" i="1"/>
  <c r="N37" i="1"/>
  <c r="M37" i="1"/>
  <c r="U36" i="1"/>
  <c r="T36" i="1"/>
  <c r="S36" i="1"/>
  <c r="R36" i="1"/>
  <c r="Q36" i="1"/>
  <c r="P36" i="1"/>
  <c r="O36" i="1"/>
  <c r="N36" i="1"/>
  <c r="M36" i="1"/>
  <c r="U35" i="1"/>
  <c r="T35" i="1"/>
  <c r="S35" i="1"/>
  <c r="R35" i="1"/>
  <c r="Q35" i="1"/>
  <c r="P35" i="1"/>
  <c r="O35" i="1"/>
  <c r="N35" i="1"/>
  <c r="M35" i="1"/>
  <c r="U34" i="1"/>
  <c r="T34" i="1"/>
  <c r="S34" i="1"/>
  <c r="R34" i="1"/>
  <c r="Q34" i="1"/>
  <c r="P34" i="1"/>
  <c r="O34" i="1"/>
  <c r="N34" i="1"/>
  <c r="M34" i="1"/>
  <c r="U33" i="1"/>
  <c r="T33" i="1"/>
  <c r="S33" i="1"/>
  <c r="R33" i="1"/>
  <c r="Q33" i="1"/>
  <c r="P33" i="1"/>
  <c r="O33" i="1"/>
  <c r="N33" i="1"/>
  <c r="M33" i="1"/>
  <c r="U32" i="1"/>
  <c r="T32" i="1"/>
  <c r="S32" i="1"/>
  <c r="R32" i="1"/>
  <c r="Q32" i="1"/>
  <c r="P32" i="1"/>
  <c r="O32" i="1"/>
  <c r="N32" i="1"/>
  <c r="M32" i="1"/>
  <c r="U31" i="1"/>
  <c r="T31" i="1"/>
  <c r="S31" i="1"/>
  <c r="R31" i="1"/>
  <c r="Q31" i="1"/>
  <c r="P31" i="1"/>
  <c r="O31" i="1"/>
  <c r="N31" i="1"/>
  <c r="M31" i="1"/>
  <c r="U30" i="1"/>
  <c r="T30" i="1"/>
  <c r="S30" i="1"/>
  <c r="R30" i="1"/>
  <c r="Q30" i="1"/>
  <c r="P30" i="1"/>
  <c r="O30" i="1"/>
  <c r="N30" i="1"/>
  <c r="M30" i="1"/>
  <c r="U29" i="1"/>
  <c r="T29" i="1"/>
  <c r="S29" i="1"/>
  <c r="R29" i="1"/>
  <c r="Q29" i="1"/>
  <c r="P29" i="1"/>
  <c r="O29" i="1"/>
  <c r="N29" i="1"/>
  <c r="X7" i="1" s="1"/>
  <c r="Z7" i="1" s="1"/>
  <c r="M29" i="1"/>
  <c r="U28" i="1"/>
  <c r="T28" i="1"/>
  <c r="S28" i="1"/>
  <c r="R28" i="1"/>
  <c r="Q28" i="1"/>
  <c r="P28" i="1"/>
  <c r="O28" i="1"/>
  <c r="N28" i="1"/>
  <c r="M28" i="1"/>
  <c r="U27" i="1"/>
  <c r="T27" i="1"/>
  <c r="S27" i="1"/>
  <c r="R27" i="1"/>
  <c r="Q27" i="1"/>
  <c r="P27" i="1"/>
  <c r="AJ8" i="1" s="1"/>
  <c r="O27" i="1"/>
  <c r="N27" i="1"/>
  <c r="M27" i="1"/>
  <c r="BF31" i="1"/>
  <c r="BE31" i="1"/>
  <c r="BD31" i="1"/>
  <c r="BB31" i="1"/>
  <c r="BA31" i="1"/>
  <c r="BE30" i="1"/>
  <c r="BA30" i="1"/>
  <c r="BD29" i="1"/>
  <c r="BC29" i="1"/>
  <c r="BB29" i="1"/>
  <c r="AZ29" i="1"/>
  <c r="BF28" i="1"/>
  <c r="BC28" i="1"/>
  <c r="BF27" i="1"/>
  <c r="BB27" i="1"/>
  <c r="BA27" i="1"/>
  <c r="AZ27" i="1"/>
  <c r="BE26" i="1"/>
  <c r="BD26" i="1"/>
  <c r="BA26" i="1"/>
  <c r="AZ26" i="1" a="1"/>
  <c r="BC32" i="1" s="1"/>
  <c r="AP26" i="1" a="1"/>
  <c r="AU32" i="1" s="1"/>
  <c r="U26" i="1"/>
  <c r="T26" i="1"/>
  <c r="S26" i="1"/>
  <c r="R26" i="1"/>
  <c r="Q26" i="1"/>
  <c r="P26" i="1"/>
  <c r="O26" i="1"/>
  <c r="N26" i="1"/>
  <c r="M26" i="1"/>
  <c r="U25" i="1"/>
  <c r="T25" i="1"/>
  <c r="S25" i="1"/>
  <c r="R25" i="1"/>
  <c r="Q25" i="1"/>
  <c r="P25" i="1"/>
  <c r="O25" i="1"/>
  <c r="N25" i="1"/>
  <c r="M25" i="1"/>
  <c r="U24" i="1"/>
  <c r="T24" i="1"/>
  <c r="S24" i="1"/>
  <c r="R24" i="1"/>
  <c r="Q24" i="1"/>
  <c r="P24" i="1"/>
  <c r="O24" i="1"/>
  <c r="N24" i="1"/>
  <c r="M24" i="1"/>
  <c r="U23" i="1"/>
  <c r="T23" i="1"/>
  <c r="S23" i="1"/>
  <c r="R23" i="1"/>
  <c r="Q23" i="1"/>
  <c r="P23" i="1"/>
  <c r="O23" i="1"/>
  <c r="N23" i="1"/>
  <c r="M23" i="1"/>
  <c r="U22" i="1"/>
  <c r="T22" i="1"/>
  <c r="S22" i="1"/>
  <c r="R22" i="1"/>
  <c r="Q22" i="1"/>
  <c r="P22" i="1"/>
  <c r="O22" i="1"/>
  <c r="N22" i="1"/>
  <c r="M22" i="1"/>
  <c r="U21" i="1"/>
  <c r="T21" i="1"/>
  <c r="S21" i="1"/>
  <c r="R21" i="1"/>
  <c r="Q21" i="1"/>
  <c r="P21" i="1"/>
  <c r="O21" i="1"/>
  <c r="N21" i="1"/>
  <c r="M21" i="1"/>
  <c r="U20" i="1"/>
  <c r="T20" i="1"/>
  <c r="S20" i="1"/>
  <c r="R20" i="1"/>
  <c r="Q20" i="1"/>
  <c r="P20" i="1"/>
  <c r="O20" i="1"/>
  <c r="N20" i="1"/>
  <c r="M20" i="1"/>
  <c r="U19" i="1"/>
  <c r="T19" i="1"/>
  <c r="S19" i="1"/>
  <c r="R19" i="1"/>
  <c r="Q19" i="1"/>
  <c r="P19" i="1"/>
  <c r="O19" i="1"/>
  <c r="N19" i="1"/>
  <c r="M19" i="1"/>
  <c r="U18" i="1"/>
  <c r="T18" i="1"/>
  <c r="S18" i="1"/>
  <c r="R18" i="1"/>
  <c r="Q18" i="1"/>
  <c r="P18" i="1"/>
  <c r="O18" i="1"/>
  <c r="N18" i="1"/>
  <c r="M18" i="1"/>
  <c r="U17" i="1"/>
  <c r="T17" i="1"/>
  <c r="S17" i="1"/>
  <c r="R17" i="1"/>
  <c r="Q17" i="1"/>
  <c r="P17" i="1"/>
  <c r="O17" i="1"/>
  <c r="N17" i="1"/>
  <c r="M17" i="1"/>
  <c r="U16" i="1"/>
  <c r="T16" i="1"/>
  <c r="S16" i="1"/>
  <c r="R16" i="1"/>
  <c r="Q16" i="1"/>
  <c r="P16" i="1"/>
  <c r="O16" i="1"/>
  <c r="N16" i="1"/>
  <c r="M16" i="1"/>
  <c r="U15" i="1"/>
  <c r="T15" i="1"/>
  <c r="S15" i="1"/>
  <c r="R15" i="1"/>
  <c r="Q15" i="1"/>
  <c r="P15" i="1"/>
  <c r="O15" i="1"/>
  <c r="N15" i="1"/>
  <c r="Y7" i="1" s="1"/>
  <c r="AA7" i="1" s="1"/>
  <c r="M15" i="1"/>
  <c r="U14" i="1"/>
  <c r="T14" i="1"/>
  <c r="S14" i="1"/>
  <c r="R14" i="1"/>
  <c r="Q14" i="1"/>
  <c r="P14" i="1"/>
  <c r="O14" i="1"/>
  <c r="N14" i="1"/>
  <c r="M14" i="1"/>
  <c r="U13" i="1"/>
  <c r="T13" i="1"/>
  <c r="S13" i="1"/>
  <c r="R13" i="1"/>
  <c r="Q13" i="1"/>
  <c r="P13" i="1"/>
  <c r="O13" i="1"/>
  <c r="N13" i="1"/>
  <c r="M13" i="1"/>
  <c r="AH12" i="1"/>
  <c r="Y12" i="1"/>
  <c r="AA12" i="1" s="1"/>
  <c r="U12" i="1"/>
  <c r="T12" i="1"/>
  <c r="S12" i="1"/>
  <c r="R12" i="1"/>
  <c r="Q12" i="1"/>
  <c r="P12" i="1"/>
  <c r="O12" i="1"/>
  <c r="N12" i="1"/>
  <c r="M12" i="1"/>
  <c r="AK11" i="1"/>
  <c r="U11" i="1"/>
  <c r="T11" i="1"/>
  <c r="S11" i="1"/>
  <c r="R11" i="1"/>
  <c r="Q11" i="1"/>
  <c r="P11" i="1"/>
  <c r="O11" i="1"/>
  <c r="N11" i="1"/>
  <c r="M11" i="1"/>
  <c r="AE10" i="1"/>
  <c r="U10" i="1"/>
  <c r="T10" i="1"/>
  <c r="S10" i="1"/>
  <c r="R10" i="1"/>
  <c r="Q10" i="1"/>
  <c r="P10" i="1"/>
  <c r="O10" i="1"/>
  <c r="N10" i="1"/>
  <c r="AE12" i="1" s="1"/>
  <c r="M10" i="1"/>
  <c r="AB15" i="1" s="1"/>
  <c r="U9" i="1"/>
  <c r="T9" i="1"/>
  <c r="S9" i="1"/>
  <c r="R9" i="1"/>
  <c r="Q9" i="1"/>
  <c r="P9" i="1"/>
  <c r="O9" i="1"/>
  <c r="N9" i="1"/>
  <c r="M9" i="1"/>
  <c r="AI8" i="1"/>
  <c r="U8" i="1"/>
  <c r="T8" i="1"/>
  <c r="X13" i="1" s="1"/>
  <c r="Z13" i="1" s="1"/>
  <c r="S8" i="1"/>
  <c r="AJ6" i="1" s="1"/>
  <c r="R8" i="1"/>
  <c r="Q8" i="1"/>
  <c r="AH11" i="1" s="1"/>
  <c r="P8" i="1"/>
  <c r="AG9" i="1" s="1"/>
  <c r="O8" i="1"/>
  <c r="Y8" i="1" s="1"/>
  <c r="AA8" i="1" s="1"/>
  <c r="N8" i="1"/>
  <c r="M8" i="1"/>
  <c r="U7" i="1"/>
  <c r="AL10" i="1" s="1"/>
  <c r="T7" i="1"/>
  <c r="Y13" i="1" s="1"/>
  <c r="AA13" i="1" s="1"/>
  <c r="S7" i="1"/>
  <c r="AJ12" i="1" s="1"/>
  <c r="R7" i="1"/>
  <c r="AI6" i="1" s="1"/>
  <c r="Q7" i="1"/>
  <c r="AH9" i="1" s="1"/>
  <c r="P7" i="1"/>
  <c r="AG12" i="1" s="1"/>
  <c r="O7" i="1"/>
  <c r="AH7" i="1" s="1"/>
  <c r="N7" i="1"/>
  <c r="AE9" i="1" s="1"/>
  <c r="M7" i="1"/>
  <c r="X15" i="1" s="1"/>
  <c r="Z15" i="1" s="1"/>
  <c r="AE6" i="1"/>
  <c r="J27" i="2" l="1"/>
  <c r="AQ74" i="1"/>
  <c r="AQ77" i="1"/>
  <c r="AQ78" i="1"/>
  <c r="AQ76" i="1"/>
  <c r="AQ75" i="1"/>
  <c r="AR28" i="1"/>
  <c r="AT30" i="1"/>
  <c r="AV32" i="1"/>
  <c r="AZ28" i="1"/>
  <c r="BB30" i="1"/>
  <c r="BD32" i="1"/>
  <c r="AK13" i="1"/>
  <c r="AL11" i="1"/>
  <c r="AK8" i="1"/>
  <c r="Y9" i="1"/>
  <c r="AB12" i="1"/>
  <c r="AJ20" i="1" s="1"/>
  <c r="AT29" i="1"/>
  <c r="AV31" i="1"/>
  <c r="BA77" i="1"/>
  <c r="AB7" i="1"/>
  <c r="AE20" i="1" s="1"/>
  <c r="AF9" i="1"/>
  <c r="AI7" i="1"/>
  <c r="AE11" i="1"/>
  <c r="AE13" i="1"/>
  <c r="Y15" i="1"/>
  <c r="AA15" i="1" s="1"/>
  <c r="AJ7" i="1"/>
  <c r="AB8" i="1"/>
  <c r="AF20" i="1" s="1"/>
  <c r="AJ9" i="1"/>
  <c r="X10" i="1"/>
  <c r="Z10" i="1" s="1"/>
  <c r="AF11" i="1"/>
  <c r="AL12" i="1"/>
  <c r="AF13" i="1"/>
  <c r="X14" i="1"/>
  <c r="Z14" i="1" s="1"/>
  <c r="AQ26" i="1"/>
  <c r="AS28" i="1"/>
  <c r="AU30" i="1"/>
  <c r="AZ26" i="1"/>
  <c r="BA28" i="1"/>
  <c r="BC30" i="1"/>
  <c r="BE32" i="1"/>
  <c r="AS31" i="1"/>
  <c r="AF6" i="1"/>
  <c r="AR29" i="1"/>
  <c r="AG6" i="1"/>
  <c r="AH6" i="1"/>
  <c r="AR27" i="1"/>
  <c r="AI10" i="1"/>
  <c r="AS27" i="1"/>
  <c r="AL6" i="1"/>
  <c r="AG7" i="1"/>
  <c r="AI9" i="1"/>
  <c r="AK12" i="1"/>
  <c r="AK7" i="1"/>
  <c r="AE8" i="1"/>
  <c r="AK9" i="1"/>
  <c r="Y10" i="1"/>
  <c r="AA10" i="1" s="1"/>
  <c r="AG11" i="1"/>
  <c r="AG13" i="1"/>
  <c r="Y14" i="1"/>
  <c r="AA14" i="1" s="1"/>
  <c r="AR26" i="1"/>
  <c r="AT28" i="1"/>
  <c r="AV30" i="1"/>
  <c r="BB28" i="1"/>
  <c r="BD30" i="1"/>
  <c r="BF32" i="1"/>
  <c r="AI13" i="1"/>
  <c r="AT26" i="1"/>
  <c r="AV28" i="1"/>
  <c r="AQ31" i="1"/>
  <c r="BB26" i="1"/>
  <c r="BD28" i="1"/>
  <c r="BF30" i="1"/>
  <c r="AL13" i="1"/>
  <c r="AT31" i="1"/>
  <c r="AL7" i="1"/>
  <c r="AF8" i="1"/>
  <c r="AL9" i="1"/>
  <c r="AH13" i="1"/>
  <c r="AS26" i="1"/>
  <c r="AU28" i="1"/>
  <c r="AP31" i="1"/>
  <c r="AG8" i="1"/>
  <c r="AI11" i="1"/>
  <c r="AH8" i="1"/>
  <c r="AB10" i="1"/>
  <c r="AH20" i="1" s="1"/>
  <c r="AJ11" i="1"/>
  <c r="X12" i="1"/>
  <c r="Z12" i="1" s="1"/>
  <c r="AJ13" i="1"/>
  <c r="AB14" i="1"/>
  <c r="AL20" i="1" s="1"/>
  <c r="AU26" i="1"/>
  <c r="AP29" i="1"/>
  <c r="AR31" i="1"/>
  <c r="BC26" i="1"/>
  <c r="BE28" i="1"/>
  <c r="AZ31" i="1"/>
  <c r="BA74" i="1"/>
  <c r="AQ27" i="1"/>
  <c r="AS29" i="1"/>
  <c r="AU31" i="1"/>
  <c r="BF26" i="1"/>
  <c r="BA29" i="1"/>
  <c r="BC31" i="1"/>
  <c r="BA76" i="1"/>
  <c r="AV26" i="1"/>
  <c r="X9" i="1"/>
  <c r="Z9" i="1" s="1"/>
  <c r="AP27" i="1"/>
  <c r="BA75" i="1"/>
  <c r="AH10" i="1"/>
  <c r="AU29" i="1"/>
  <c r="AB9" i="1"/>
  <c r="AJ10" i="1"/>
  <c r="X11" i="1"/>
  <c r="Z11" i="1" s="1"/>
  <c r="AF12" i="1"/>
  <c r="AT27" i="1"/>
  <c r="AV29" i="1"/>
  <c r="AQ32" i="1"/>
  <c r="AK6" i="1"/>
  <c r="AE7" i="1"/>
  <c r="AK10" i="1"/>
  <c r="Y11" i="1"/>
  <c r="AA11" i="1" s="1"/>
  <c r="AU27" i="1"/>
  <c r="AP30" i="1"/>
  <c r="AR32" i="1"/>
  <c r="BC27" i="1"/>
  <c r="BE29" i="1"/>
  <c r="AZ32" i="1"/>
  <c r="AV27" i="1"/>
  <c r="AQ30" i="1"/>
  <c r="AS32" i="1"/>
  <c r="BD27" i="1"/>
  <c r="BF29" i="1"/>
  <c r="BA32" i="1"/>
  <c r="AI12" i="1"/>
  <c r="AP28" i="1"/>
  <c r="AR30" i="1"/>
  <c r="AT32" i="1"/>
  <c r="BE27" i="1"/>
  <c r="AZ30" i="1"/>
  <c r="BB32" i="1"/>
  <c r="AQ29" i="1"/>
  <c r="AF10" i="1"/>
  <c r="AG10" i="1"/>
  <c r="AL8" i="1"/>
  <c r="AP32" i="1"/>
  <c r="AF7" i="1"/>
  <c r="X8" i="1"/>
  <c r="Z8" i="1" s="1"/>
  <c r="AB11" i="1"/>
  <c r="AI20" i="1" s="1"/>
  <c r="AB13" i="1"/>
  <c r="AK20" i="1" s="1"/>
  <c r="AP26" i="1"/>
  <c r="AQ28" i="1"/>
  <c r="AS30" i="1"/>
  <c r="AQ8" i="1" l="1"/>
  <c r="AQ9" i="1"/>
  <c r="AQ11" i="1"/>
  <c r="AS11" i="1"/>
  <c r="AG20" i="1"/>
  <c r="AS8" i="1"/>
  <c r="AS9" i="1"/>
  <c r="AP80" i="1"/>
  <c r="AP81" i="1" s="1"/>
  <c r="AP10" i="1"/>
  <c r="AA9" i="1"/>
  <c r="AS10" i="1" s="1"/>
  <c r="AP8" i="1"/>
  <c r="AP11" i="1"/>
  <c r="AP9" i="1"/>
  <c r="AZ80" i="1"/>
  <c r="AZ81" i="1" s="1"/>
  <c r="AR11" i="1" l="1"/>
  <c r="AR8" i="1"/>
  <c r="AR9" i="1"/>
  <c r="AR10" i="1"/>
  <c r="AQ10" i="1"/>
</calcChain>
</file>

<file path=xl/sharedStrings.xml><?xml version="1.0" encoding="utf-8"?>
<sst xmlns="http://schemas.openxmlformats.org/spreadsheetml/2006/main" count="465" uniqueCount="323">
  <si>
    <t>Vamos a constuir el portafalio, pero para ello primero obtengamos las series históricas de los 10 años anteriores de las empresas por mes</t>
  </si>
  <si>
    <t>Tabla de covarianzas y varianzas entre los activos i y j</t>
  </si>
  <si>
    <t>Portafolio #1</t>
  </si>
  <si>
    <t>Portafolio #2</t>
  </si>
  <si>
    <t>Series históricas de activos de las acciones a evaluar</t>
  </si>
  <si>
    <t>Tabla de rendimientos promedios de las acciones a evaluar</t>
  </si>
  <si>
    <t>Matriz de rendimientos y desviación estándar</t>
  </si>
  <si>
    <t>Nvidia</t>
  </si>
  <si>
    <t>Amazon</t>
  </si>
  <si>
    <t>Walmart</t>
  </si>
  <si>
    <t>Mc Donalds</t>
  </si>
  <si>
    <t>JP Morgan</t>
  </si>
  <si>
    <t>Met life</t>
  </si>
  <si>
    <t>BBVA</t>
  </si>
  <si>
    <t>Eli Lilly</t>
  </si>
  <si>
    <t>Matriz de covarianzas y varianzas Portafolio 1</t>
  </si>
  <si>
    <t>Fecha</t>
  </si>
  <si>
    <t>IPC</t>
  </si>
  <si>
    <t>McDonalds</t>
  </si>
  <si>
    <t>MetLife</t>
  </si>
  <si>
    <t>E_i</t>
  </si>
  <si>
    <t>D_i</t>
  </si>
  <si>
    <t>E_i Anual</t>
  </si>
  <si>
    <t>D_i Anual</t>
  </si>
  <si>
    <t>Beta_i</t>
  </si>
  <si>
    <t>01.03.2025</t>
  </si>
  <si>
    <t>01.02.2025</t>
  </si>
  <si>
    <t>01.01.2025</t>
  </si>
  <si>
    <t>01.12.2024</t>
  </si>
  <si>
    <t>01.11.2024</t>
  </si>
  <si>
    <t>01.10.2024</t>
  </si>
  <si>
    <t>01.09.2024</t>
  </si>
  <si>
    <t>01.08.2024</t>
  </si>
  <si>
    <t>Definimos la matriz C</t>
  </si>
  <si>
    <t>01.07.2024</t>
  </si>
  <si>
    <t>01.06.2024</t>
  </si>
  <si>
    <t>Rendimiento CAPM</t>
  </si>
  <si>
    <t>C =</t>
  </si>
  <si>
    <t>01.05.2024</t>
  </si>
  <si>
    <t>Tasa libre de riesgo =</t>
  </si>
  <si>
    <t>(Bonos a 10 años)</t>
  </si>
  <si>
    <t>01.04.2024</t>
  </si>
  <si>
    <t>01.03.2024</t>
  </si>
  <si>
    <t>01.02.2024</t>
  </si>
  <si>
    <t>01.01.2024</t>
  </si>
  <si>
    <t>01.12.2023</t>
  </si>
  <si>
    <t>01.11.2023</t>
  </si>
  <si>
    <t>01.10.2023</t>
  </si>
  <si>
    <t>Calculamos la inversa de la matriz C</t>
  </si>
  <si>
    <t>01.09.2023</t>
  </si>
  <si>
    <t>01.08.2023</t>
  </si>
  <si>
    <t>C^(-1) =</t>
  </si>
  <si>
    <t>01.07.2023</t>
  </si>
  <si>
    <t>01.06.2023</t>
  </si>
  <si>
    <t>01.05.2023</t>
  </si>
  <si>
    <t>01.04.2023</t>
  </si>
  <si>
    <t>01.03.2023</t>
  </si>
  <si>
    <t>01.02.2023</t>
  </si>
  <si>
    <t>01.01.2023</t>
  </si>
  <si>
    <t>01.12.2022</t>
  </si>
  <si>
    <t>Definimos el vector B</t>
  </si>
  <si>
    <t>01.11.2022</t>
  </si>
  <si>
    <t>01.10.2022</t>
  </si>
  <si>
    <t xml:space="preserve">B = </t>
  </si>
  <si>
    <t>01.09.2022</t>
  </si>
  <si>
    <t>01.08.2022</t>
  </si>
  <si>
    <t>01.07.2022</t>
  </si>
  <si>
    <t>01.06.2022</t>
  </si>
  <si>
    <t>01.05.2022</t>
  </si>
  <si>
    <t>Ep</t>
  </si>
  <si>
    <t>01.04.2022</t>
  </si>
  <si>
    <t>01.03.2022</t>
  </si>
  <si>
    <t>01.02.2022</t>
  </si>
  <si>
    <t>Multiplicamos C^(-1).B</t>
  </si>
  <si>
    <t>01.01.2022</t>
  </si>
  <si>
    <t>01.12.2021</t>
  </si>
  <si>
    <t>C^(-1).B =</t>
  </si>
  <si>
    <t>Ep +</t>
  </si>
  <si>
    <t>01.11.2021</t>
  </si>
  <si>
    <t>01.10.2021</t>
  </si>
  <si>
    <t>01.09.2021</t>
  </si>
  <si>
    <t>01.08.2021</t>
  </si>
  <si>
    <t>01.07.2021</t>
  </si>
  <si>
    <t>01.06.2021</t>
  </si>
  <si>
    <t>01.05.2021</t>
  </si>
  <si>
    <t>AsÍ tenemos las rectas dependiendo del retorno</t>
  </si>
  <si>
    <t>01.04.2021</t>
  </si>
  <si>
    <t>01.03.2021</t>
  </si>
  <si>
    <t xml:space="preserve">x_1 = </t>
  </si>
  <si>
    <t>01.02.2021</t>
  </si>
  <si>
    <t xml:space="preserve">x_2 = </t>
  </si>
  <si>
    <t>01.01.2021</t>
  </si>
  <si>
    <t>x_3 =</t>
  </si>
  <si>
    <t>01.12.2020</t>
  </si>
  <si>
    <t xml:space="preserve">x_4 = </t>
  </si>
  <si>
    <t>01.11.2020</t>
  </si>
  <si>
    <t xml:space="preserve">x_5 = </t>
  </si>
  <si>
    <t>JPMorgan</t>
  </si>
  <si>
    <t>01.10.2020</t>
  </si>
  <si>
    <t>01.09.2020</t>
  </si>
  <si>
    <t xml:space="preserve">Especificamos el retorno esperado del portafolio: </t>
  </si>
  <si>
    <t>01.08.2020</t>
  </si>
  <si>
    <t>01.07.2020</t>
  </si>
  <si>
    <t xml:space="preserve">Ep = </t>
  </si>
  <si>
    <t>01.06.2020</t>
  </si>
  <si>
    <t>01.05.2020</t>
  </si>
  <si>
    <t>01.04.2020</t>
  </si>
  <si>
    <t>01.03.2020</t>
  </si>
  <si>
    <t>01.02.2020</t>
  </si>
  <si>
    <t>01.01.2020</t>
  </si>
  <si>
    <t>01.12.2019</t>
  </si>
  <si>
    <t>Suma x_i =</t>
  </si>
  <si>
    <t>Suma x_i</t>
  </si>
  <si>
    <t>01.11.2019</t>
  </si>
  <si>
    <t>01.10.2019</t>
  </si>
  <si>
    <t>Calculamos la varianza y el riesgo del portafolio</t>
  </si>
  <si>
    <t xml:space="preserve">Calculamos la varianza y el riesgo del portafolio			</t>
  </si>
  <si>
    <t>01.09.2019</t>
  </si>
  <si>
    <t>01.08.2019</t>
  </si>
  <si>
    <t>Matriz Auxiliar</t>
  </si>
  <si>
    <t>01.07.2019</t>
  </si>
  <si>
    <t>01.06.2019</t>
  </si>
  <si>
    <t>01.05.2019</t>
  </si>
  <si>
    <t>01.04.2019</t>
  </si>
  <si>
    <t>01.03.2019</t>
  </si>
  <si>
    <t>01.02.2019</t>
  </si>
  <si>
    <t>V_p =</t>
  </si>
  <si>
    <t xml:space="preserve"> </t>
  </si>
  <si>
    <t>01.01.2019</t>
  </si>
  <si>
    <t>D_p =</t>
  </si>
  <si>
    <t>01.12.2018</t>
  </si>
  <si>
    <t>01.11.2018</t>
  </si>
  <si>
    <t>01.10.2018</t>
  </si>
  <si>
    <t>Conclusión:</t>
  </si>
  <si>
    <t>Mucho riesgo poco retorno</t>
  </si>
  <si>
    <t>01.09.2018</t>
  </si>
  <si>
    <t>01.08.2018</t>
  </si>
  <si>
    <t>01.07.2018</t>
  </si>
  <si>
    <t>01.06.2018</t>
  </si>
  <si>
    <t>01.05.2018</t>
  </si>
  <si>
    <t>01.04.2018</t>
  </si>
  <si>
    <t>01.03.2018</t>
  </si>
  <si>
    <t>01.02.2018</t>
  </si>
  <si>
    <t>01.01.2018</t>
  </si>
  <si>
    <t>01.12.2017</t>
  </si>
  <si>
    <t>01.11.2017</t>
  </si>
  <si>
    <t>01.10.2017</t>
  </si>
  <si>
    <t>01.09.2017</t>
  </si>
  <si>
    <t>01.08.2017</t>
  </si>
  <si>
    <t>01.07.2017</t>
  </si>
  <si>
    <t>01.06.2017</t>
  </si>
  <si>
    <t>01.05.2017</t>
  </si>
  <si>
    <t>01.04.2017</t>
  </si>
  <si>
    <t>01.03.2017</t>
  </si>
  <si>
    <t>01.02.2017</t>
  </si>
  <si>
    <t>01.01.2017</t>
  </si>
  <si>
    <t>01.12.2016</t>
  </si>
  <si>
    <t>01.11.2016</t>
  </si>
  <si>
    <t>01.10.2016</t>
  </si>
  <si>
    <t>01.09.2016</t>
  </si>
  <si>
    <t>01.08.2016</t>
  </si>
  <si>
    <t>01.07.2016</t>
  </si>
  <si>
    <t>01.06.2016</t>
  </si>
  <si>
    <t>01.05.2016</t>
  </si>
  <si>
    <t>01.04.2016</t>
  </si>
  <si>
    <t>01.03.2016</t>
  </si>
  <si>
    <t>01.02.2016</t>
  </si>
  <si>
    <t>01.01.2016</t>
  </si>
  <si>
    <t>01.12.2015</t>
  </si>
  <si>
    <t>01.11.2015</t>
  </si>
  <si>
    <t>01.10.2015</t>
  </si>
  <si>
    <t>01.09.2015</t>
  </si>
  <si>
    <t>01.08.2015</t>
  </si>
  <si>
    <t>01.07.2015</t>
  </si>
  <si>
    <t>01.06.2015</t>
  </si>
  <si>
    <t>01.05.2015</t>
  </si>
  <si>
    <t>01.04.2015</t>
  </si>
  <si>
    <t>01.03.2015</t>
  </si>
  <si>
    <t>01.02.2015</t>
  </si>
  <si>
    <t>01.01.2015</t>
  </si>
  <si>
    <t>01.12.2014</t>
  </si>
  <si>
    <t>01.11.2014</t>
  </si>
  <si>
    <t>01.10.2014</t>
  </si>
  <si>
    <t>01.09.2014</t>
  </si>
  <si>
    <t>01.08.2014</t>
  </si>
  <si>
    <t>01.07.2014</t>
  </si>
  <si>
    <t>01.06.2014</t>
  </si>
  <si>
    <t>01.05.2014</t>
  </si>
  <si>
    <t>01.04.2014</t>
  </si>
  <si>
    <t>01.03.2014</t>
  </si>
  <si>
    <t>01.02.2014</t>
  </si>
  <si>
    <t>01.01.2014</t>
  </si>
  <si>
    <t>01.12.2013</t>
  </si>
  <si>
    <t>01.11.2013</t>
  </si>
  <si>
    <t>01.10.2013</t>
  </si>
  <si>
    <t>01.09.2013</t>
  </si>
  <si>
    <t>01.08.2013</t>
  </si>
  <si>
    <t>01.07.2013</t>
  </si>
  <si>
    <t>01.06.2013</t>
  </si>
  <si>
    <t>01.05.2013</t>
  </si>
  <si>
    <t>01.04.2013</t>
  </si>
  <si>
    <t>01.03.2013</t>
  </si>
  <si>
    <t>01.02.2013</t>
  </si>
  <si>
    <t>01.01.2013</t>
  </si>
  <si>
    <t>01.12.2012</t>
  </si>
  <si>
    <t>01.11.2012</t>
  </si>
  <si>
    <t>01.10.2012</t>
  </si>
  <si>
    <t>01.09.2012</t>
  </si>
  <si>
    <t>01.08.2012</t>
  </si>
  <si>
    <t>01.07.2012</t>
  </si>
  <si>
    <t>01.06.2012</t>
  </si>
  <si>
    <t>01.05.2012</t>
  </si>
  <si>
    <t>01.04.2012</t>
  </si>
  <si>
    <t>01.03.2012</t>
  </si>
  <si>
    <t>01.02.2012</t>
  </si>
  <si>
    <t>01.01.2012</t>
  </si>
  <si>
    <t>01.12.2011</t>
  </si>
  <si>
    <t>01.11.2011</t>
  </si>
  <si>
    <t>01.10.2011</t>
  </si>
  <si>
    <t>01.09.2011</t>
  </si>
  <si>
    <t>01.08.2011</t>
  </si>
  <si>
    <t>01.07.2011</t>
  </si>
  <si>
    <t>01.06.2011</t>
  </si>
  <si>
    <t>01.05.2011</t>
  </si>
  <si>
    <t>01.04.2011</t>
  </si>
  <si>
    <t>01.03.2011</t>
  </si>
  <si>
    <t>01.02.2011</t>
  </si>
  <si>
    <t>01.01.2011</t>
  </si>
  <si>
    <t>01.12.2010</t>
  </si>
  <si>
    <t>01.11.2010</t>
  </si>
  <si>
    <t>01.10.2010</t>
  </si>
  <si>
    <t>01.09.2010</t>
  </si>
  <si>
    <t>01.08.2010</t>
  </si>
  <si>
    <t>01.07.2010</t>
  </si>
  <si>
    <t>01.06.2010</t>
  </si>
  <si>
    <t>01.05.2010</t>
  </si>
  <si>
    <t>01.04.2010</t>
  </si>
  <si>
    <t>01.03.2010</t>
  </si>
  <si>
    <t>01.02.2010</t>
  </si>
  <si>
    <t>01.01.2010</t>
  </si>
  <si>
    <t>01.12.2009</t>
  </si>
  <si>
    <t>01.11.2009</t>
  </si>
  <si>
    <t>01.10.2009</t>
  </si>
  <si>
    <t>01.09.2009</t>
  </si>
  <si>
    <t>01.08.2009</t>
  </si>
  <si>
    <t>01.07.2009</t>
  </si>
  <si>
    <t>01.06.2009</t>
  </si>
  <si>
    <t>01.05.2009</t>
  </si>
  <si>
    <t>01.04.2009</t>
  </si>
  <si>
    <t>01.03.2009</t>
  </si>
  <si>
    <t>01.02.2009</t>
  </si>
  <si>
    <t>01.01.2009</t>
  </si>
  <si>
    <t>01.12.2008</t>
  </si>
  <si>
    <t>01.11.2008</t>
  </si>
  <si>
    <t>01.10.2008</t>
  </si>
  <si>
    <t>01.09.2008</t>
  </si>
  <si>
    <t>01.08.2008</t>
  </si>
  <si>
    <t>01.07.2008</t>
  </si>
  <si>
    <t>01.06.2008</t>
  </si>
  <si>
    <t>01.05.2008</t>
  </si>
  <si>
    <t>01.04.2008</t>
  </si>
  <si>
    <t>01.03.2008</t>
  </si>
  <si>
    <t>01.02.2008</t>
  </si>
  <si>
    <t>01.01.2008</t>
  </si>
  <si>
    <t>01.12.2007</t>
  </si>
  <si>
    <t>01.11.2007</t>
  </si>
  <si>
    <t>01.10.2007</t>
  </si>
  <si>
    <t>01.09.2007</t>
  </si>
  <si>
    <t>01.08.2007</t>
  </si>
  <si>
    <t>01.07.2007</t>
  </si>
  <si>
    <t>01.06.2007</t>
  </si>
  <si>
    <t>01.05.2007</t>
  </si>
  <si>
    <t>01.04.2007</t>
  </si>
  <si>
    <t>01.03.2007</t>
  </si>
  <si>
    <t>01.02.2007</t>
  </si>
  <si>
    <t>01.01.2007</t>
  </si>
  <si>
    <t>01.12.2006</t>
  </si>
  <si>
    <t>01.11.2006</t>
  </si>
  <si>
    <t>01.10.2006</t>
  </si>
  <si>
    <t>01.09.2006</t>
  </si>
  <si>
    <t>01.08.2006</t>
  </si>
  <si>
    <t>01.07.2006</t>
  </si>
  <si>
    <t>01.06.2006</t>
  </si>
  <si>
    <t>01.05.2006</t>
  </si>
  <si>
    <t>01.04.2006</t>
  </si>
  <si>
    <t>01.03.2006</t>
  </si>
  <si>
    <t>01.02.2006</t>
  </si>
  <si>
    <t>01.01.2006</t>
  </si>
  <si>
    <t>01.12.2005</t>
  </si>
  <si>
    <t>01.11.2005</t>
  </si>
  <si>
    <t>01.10.2005</t>
  </si>
  <si>
    <t>01.09.2005</t>
  </si>
  <si>
    <t>01.08.2005</t>
  </si>
  <si>
    <t>01.07.2005</t>
  </si>
  <si>
    <t>01.06.2005</t>
  </si>
  <si>
    <t>01.05.2005</t>
  </si>
  <si>
    <t>01.04.2005</t>
  </si>
  <si>
    <t>01.03.2005</t>
  </si>
  <si>
    <t>01.02.2005</t>
  </si>
  <si>
    <t>01.01.2005</t>
  </si>
  <si>
    <t>01.12.2004</t>
  </si>
  <si>
    <t>01.11.2004</t>
  </si>
  <si>
    <t>01.10.2004</t>
  </si>
  <si>
    <t>01.09.2004</t>
  </si>
  <si>
    <t>01.08.2004</t>
  </si>
  <si>
    <t>01.07.2004</t>
  </si>
  <si>
    <t>01.06.2004</t>
  </si>
  <si>
    <t>01.05.2004</t>
  </si>
  <si>
    <t>01.04.2004</t>
  </si>
  <si>
    <t>01.03.2004</t>
  </si>
  <si>
    <t>Configuración del portafolio</t>
  </si>
  <si>
    <t>Libre de riesgo</t>
  </si>
  <si>
    <t>Renta varianble</t>
  </si>
  <si>
    <t>Asi tenemos:</t>
  </si>
  <si>
    <t>$10,000</t>
  </si>
  <si>
    <t>Renta variable</t>
  </si>
  <si>
    <t>$90,000</t>
  </si>
  <si>
    <t>En la renta variable encontramos los porcentajes finales</t>
  </si>
  <si>
    <t>Procentaje</t>
  </si>
  <si>
    <t>Número acciones</t>
  </si>
  <si>
    <t>Dinero</t>
  </si>
  <si>
    <t>Suma =</t>
  </si>
  <si>
    <t>Matriz de covarianzas y varianzas Portafolio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</si>
</sst>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.0000_-;\-* #,##0.0000_-;_-* &quot;-&quot;??_-;_-@"/>
    <numFmt numFmtId="165" formatCode="_-* #,##0.00000_-;\-* #,##0.00000_-;_-* &quot;-&quot;??_-;_-@"/>
    <numFmt numFmtId="166" formatCode="_-* #,##0.00000_-;\-* #,##0.00000_-;_-* &quot;-&quot;??.00000_-;_-@"/>
    <numFmt numFmtId="167" formatCode="#,##0.0000"/>
    <numFmt numFmtId="168" formatCode="#,##0.00000"/>
    <numFmt numFmtId="169" formatCode="_-* #,##0.00000_-;\-* #,##0.00000_-;_-* &quot;-&quot;??.000_-;_-@"/>
    <numFmt numFmtId="170" formatCode="_-* #,##0_-;\-* #,##0_-;_-* &quot;-&quot;??_-;_-@"/>
    <numFmt numFmtId="171" formatCode="_-* #,##0.00_-;\-* #,##0.00_-;_-* &quot;-&quot;??_-;_-@"/>
  </numFmts>
  <fonts count="10">
    <font>
      <sz val="11"/>
      <color theme="1"/>
      <name val="Aptos Narrow"/>
      <scheme val="minor"/>
    </font>
    <font>
      <sz val="11"/>
      <color theme="1"/>
      <name val="Aptos Narrow"/>
    </font>
    <font>
      <b/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Arial"/>
    </font>
    <font>
      <sz val="11"/>
      <color rgb="FFFF0000"/>
      <name val="Aptos Narrow"/>
    </font>
    <font>
      <sz val="11"/>
      <name val="Aptos Narrow"/>
    </font>
    <font>
      <sz val="11"/>
      <color theme="1"/>
      <name val="Arial"/>
    </font>
    <font>
      <b/>
      <sz val="11"/>
      <color theme="1"/>
      <name val="Arial"/>
    </font>
    <font>
      <b/>
      <sz val="11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AEAEAE"/>
        <bgColor rgb="FFAEAEAE"/>
      </patternFill>
    </fill>
    <fill>
      <patternFill patternType="solid">
        <fgColor theme="0"/>
        <bgColor theme="0"/>
      </patternFill>
    </fill>
    <fill>
      <patternFill patternType="solid">
        <fgColor rgb="FFD0D0D0"/>
        <bgColor rgb="FFD0D0D0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rgb="FFD0D0D0"/>
      </bottom>
      <diagonal/>
    </border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1" fillId="0" borderId="1" xfId="0" applyFont="1" applyBorder="1"/>
    <xf numFmtId="0" fontId="1" fillId="2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164" fontId="1" fillId="3" borderId="3" xfId="0" applyNumberFormat="1" applyFont="1" applyFill="1" applyBorder="1" applyAlignment="1">
      <alignment horizontal="left"/>
    </xf>
    <xf numFmtId="0" fontId="1" fillId="4" borderId="2" xfId="0" applyFont="1" applyFill="1" applyBorder="1"/>
    <xf numFmtId="4" fontId="1" fillId="0" borderId="0" xfId="0" applyNumberFormat="1" applyFont="1"/>
    <xf numFmtId="165" fontId="1" fillId="0" borderId="5" xfId="0" applyNumberFormat="1" applyFont="1" applyBorder="1"/>
    <xf numFmtId="0" fontId="1" fillId="0" borderId="5" xfId="0" applyFont="1" applyBorder="1"/>
    <xf numFmtId="166" fontId="1" fillId="0" borderId="0" xfId="0" applyNumberFormat="1" applyFont="1"/>
    <xf numFmtId="4" fontId="1" fillId="0" borderId="5" xfId="0" applyNumberFormat="1" applyFont="1" applyBorder="1"/>
    <xf numFmtId="167" fontId="1" fillId="0" borderId="5" xfId="0" applyNumberFormat="1" applyFont="1" applyBorder="1"/>
    <xf numFmtId="0" fontId="1" fillId="0" borderId="2" xfId="0" applyFont="1" applyBorder="1" applyAlignment="1">
      <alignment horizontal="center"/>
    </xf>
    <xf numFmtId="168" fontId="1" fillId="0" borderId="0" xfId="0" applyNumberFormat="1" applyFont="1"/>
    <xf numFmtId="164" fontId="1" fillId="3" borderId="6" xfId="0" applyNumberFormat="1" applyFont="1" applyFill="1" applyBorder="1" applyAlignment="1">
      <alignment horizontal="left"/>
    </xf>
    <xf numFmtId="0" fontId="1" fillId="0" borderId="3" xfId="0" applyFont="1" applyBorder="1"/>
    <xf numFmtId="0" fontId="1" fillId="0" borderId="0" xfId="0" applyFont="1"/>
    <xf numFmtId="167" fontId="1" fillId="0" borderId="7" xfId="0" applyNumberFormat="1" applyFont="1" applyBorder="1"/>
    <xf numFmtId="169" fontId="1" fillId="0" borderId="0" xfId="0" applyNumberFormat="1" applyFont="1"/>
    <xf numFmtId="166" fontId="3" fillId="0" borderId="0" xfId="0" applyNumberFormat="1" applyFont="1"/>
    <xf numFmtId="170" fontId="4" fillId="0" borderId="0" xfId="0" applyNumberFormat="1" applyFont="1"/>
    <xf numFmtId="171" fontId="1" fillId="0" borderId="0" xfId="0" applyNumberFormat="1" applyFont="1"/>
    <xf numFmtId="169" fontId="3" fillId="0" borderId="0" xfId="0" applyNumberFormat="1" applyFont="1"/>
    <xf numFmtId="166" fontId="4" fillId="0" borderId="0" xfId="0" applyNumberFormat="1" applyFont="1"/>
    <xf numFmtId="0" fontId="1" fillId="0" borderId="0" xfId="0" applyFont="1" applyAlignment="1">
      <alignment horizontal="right"/>
    </xf>
    <xf numFmtId="0" fontId="7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8" fillId="0" borderId="0" xfId="0" applyFont="1"/>
    <xf numFmtId="0" fontId="9" fillId="0" borderId="0" xfId="0" applyFont="1"/>
    <xf numFmtId="9" fontId="4" fillId="0" borderId="0" xfId="0" applyNumberFormat="1" applyFont="1"/>
    <xf numFmtId="0" fontId="3" fillId="5" borderId="0" xfId="0" applyFont="1" applyFill="1"/>
    <xf numFmtId="0" fontId="4" fillId="5" borderId="0" xfId="0" applyFont="1" applyFill="1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2" borderId="8" xfId="0" applyFont="1" applyFill="1" applyBorder="1" applyAlignment="1">
      <alignment horizontal="center"/>
    </xf>
    <xf numFmtId="0" fontId="6" fillId="0" borderId="9" xfId="0" applyFont="1" applyBorder="1"/>
    <xf numFmtId="0" fontId="7" fillId="0" borderId="0" xfId="0" applyFont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6" fillId="0" borderId="11" xfId="0" applyFont="1" applyBorder="1"/>
    <xf numFmtId="0" fontId="6" fillId="0" borderId="12" xfId="0" applyFont="1" applyBorder="1"/>
    <xf numFmtId="0" fontId="4" fillId="6" borderId="0" xfId="0" applyFont="1" applyFill="1"/>
    <xf numFmtId="0" fontId="0" fillId="6" borderId="0" xfId="0" applyFill="1"/>
    <xf numFmtId="0" fontId="3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microsoft.com/office/2017/10/relationships/person" Target="persons/person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G1000"/>
  <sheetViews>
    <sheetView tabSelected="1" zoomScale="59" workbookViewId="0">
      <selection activeCell="BF67" sqref="BF67"/>
    </sheetView>
  </sheetViews>
  <sheetFormatPr baseColWidth="10" defaultColWidth="12.6640625" defaultRowHeight="15" customHeight="1"/>
  <cols>
    <col min="1" max="41" width="10.6640625" customWidth="1"/>
    <col min="42" max="42" width="14.77734375" customWidth="1"/>
    <col min="43" max="59" width="10.6640625" customWidth="1"/>
  </cols>
  <sheetData>
    <row r="1" spans="2:59" ht="14.25" customHeight="1"/>
    <row r="2" spans="2:59" ht="14.25" customHeight="1">
      <c r="B2" s="41" t="s">
        <v>0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</row>
    <row r="3" spans="2:59" ht="14.25" customHeight="1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AF3" s="43" t="s">
        <v>1</v>
      </c>
      <c r="AG3" s="42"/>
      <c r="AH3" s="42"/>
      <c r="AI3" s="42"/>
      <c r="AJ3" s="42"/>
      <c r="AO3" s="3" t="s">
        <v>2</v>
      </c>
      <c r="AY3" s="51" t="s">
        <v>3</v>
      </c>
      <c r="AZ3" s="52"/>
      <c r="BA3" s="52"/>
      <c r="BB3" s="52"/>
      <c r="BC3" s="52"/>
      <c r="BD3" s="52"/>
      <c r="BE3" s="52"/>
      <c r="BF3" s="52"/>
    </row>
    <row r="4" spans="2:59" ht="14.25" customHeight="1">
      <c r="B4" s="43" t="s">
        <v>4</v>
      </c>
      <c r="C4" s="42"/>
      <c r="D4" s="42"/>
      <c r="E4" s="42"/>
      <c r="F4" s="42"/>
      <c r="G4" s="42"/>
      <c r="H4" s="42"/>
      <c r="I4" s="42"/>
      <c r="J4" s="42"/>
      <c r="K4" s="42"/>
      <c r="L4" s="2"/>
      <c r="M4" s="2"/>
      <c r="O4" s="43" t="s">
        <v>5</v>
      </c>
      <c r="P4" s="42"/>
      <c r="Q4" s="42"/>
      <c r="R4" s="42"/>
      <c r="S4" s="42"/>
      <c r="T4" s="42"/>
      <c r="U4" s="2"/>
      <c r="W4" s="43" t="s">
        <v>6</v>
      </c>
      <c r="X4" s="42"/>
      <c r="Y4" s="42"/>
      <c r="Z4" s="42"/>
      <c r="AA4" s="42"/>
      <c r="BA4" s="3"/>
    </row>
    <row r="5" spans="2:59" ht="14.25" customHeight="1">
      <c r="X5" s="5"/>
      <c r="Y5" s="5"/>
      <c r="AB5" s="5"/>
      <c r="AC5" s="5"/>
      <c r="AD5" s="5"/>
      <c r="AE5" s="6" t="s">
        <v>7</v>
      </c>
      <c r="AF5" s="6" t="s">
        <v>8</v>
      </c>
      <c r="AG5" s="6" t="s">
        <v>9</v>
      </c>
      <c r="AH5" s="6" t="s">
        <v>10</v>
      </c>
      <c r="AI5" s="6" t="s">
        <v>11</v>
      </c>
      <c r="AJ5" s="6" t="s">
        <v>12</v>
      </c>
      <c r="AK5" s="6" t="s">
        <v>13</v>
      </c>
      <c r="AL5" s="6" t="s">
        <v>14</v>
      </c>
      <c r="AO5" s="3" t="s">
        <v>15</v>
      </c>
      <c r="AY5" t="s">
        <v>322</v>
      </c>
    </row>
    <row r="6" spans="2:59" ht="14.25" customHeight="1">
      <c r="B6" s="6" t="s">
        <v>16</v>
      </c>
      <c r="C6" s="6" t="s">
        <v>17</v>
      </c>
      <c r="D6" s="6" t="s">
        <v>7</v>
      </c>
      <c r="E6" s="6" t="s">
        <v>8</v>
      </c>
      <c r="F6" s="6" t="s">
        <v>9</v>
      </c>
      <c r="G6" s="6" t="s">
        <v>18</v>
      </c>
      <c r="H6" s="6" t="s">
        <v>11</v>
      </c>
      <c r="I6" s="6" t="s">
        <v>19</v>
      </c>
      <c r="J6" s="6" t="s">
        <v>13</v>
      </c>
      <c r="K6" s="6" t="s">
        <v>14</v>
      </c>
      <c r="L6" s="7"/>
      <c r="M6" s="6" t="s">
        <v>17</v>
      </c>
      <c r="N6" s="6" t="s">
        <v>7</v>
      </c>
      <c r="O6" s="6" t="s">
        <v>8</v>
      </c>
      <c r="P6" s="6" t="s">
        <v>9</v>
      </c>
      <c r="Q6" s="6" t="s">
        <v>10</v>
      </c>
      <c r="R6" s="6" t="s">
        <v>11</v>
      </c>
      <c r="S6" s="6" t="s">
        <v>12</v>
      </c>
      <c r="T6" s="6" t="s">
        <v>13</v>
      </c>
      <c r="U6" s="6" t="s">
        <v>14</v>
      </c>
      <c r="X6" s="8" t="s">
        <v>20</v>
      </c>
      <c r="Y6" s="9" t="s">
        <v>21</v>
      </c>
      <c r="Z6" s="8" t="s">
        <v>22</v>
      </c>
      <c r="AA6" s="9" t="s">
        <v>23</v>
      </c>
      <c r="AB6" s="10" t="s">
        <v>24</v>
      </c>
      <c r="AC6" s="11"/>
      <c r="AD6" s="6" t="s">
        <v>7</v>
      </c>
      <c r="AE6" s="12">
        <f>_xlfn.COVARIANCE.S(N7:N258,N7:N258)</f>
        <v>1.9933043833044187E-2</v>
      </c>
      <c r="AF6" s="3">
        <f>_xlfn.COVARIANCE.S(O7:O258,N7:N258)</f>
        <v>5.5586954535684864E-3</v>
      </c>
      <c r="AG6" s="3">
        <f>_xlfn.COVARIANCE.S(P7:P258,N7:N258)</f>
        <v>1.0933749590971073E-3</v>
      </c>
      <c r="AH6" s="3">
        <f>_xlfn.COVARIANCE.S(Q7:Q258,N7:N258)</f>
        <v>8.4257299341314892E-4</v>
      </c>
      <c r="AI6" s="3">
        <f>_xlfn.COVARIANCE.S(R7:R258,N7:N258)</f>
        <v>2.1613203667298362E-3</v>
      </c>
      <c r="AJ6" s="3">
        <f>_xlfn.COVARIANCE.S(S7:S258,N7:N258)</f>
        <v>-1.6534178525632358E-3</v>
      </c>
      <c r="AK6" s="3">
        <f>_xlfn.COVARIANCE.S(T7:T258,N7:N258)</f>
        <v>2.7865211181910313E-3</v>
      </c>
      <c r="AL6" s="3">
        <f>_xlfn.COVARIANCE.S(U7:U258,N7:N258)</f>
        <v>-1.1397418011336195E-4</v>
      </c>
      <c r="BA6" s="5"/>
    </row>
    <row r="7" spans="2:59" ht="14.25" customHeight="1">
      <c r="B7" s="13" t="s">
        <v>25</v>
      </c>
      <c r="C7" s="14">
        <v>52055.09</v>
      </c>
      <c r="D7" s="3">
        <v>108.61</v>
      </c>
      <c r="E7" s="3">
        <v>194.14</v>
      </c>
      <c r="F7" s="3">
        <v>91.72</v>
      </c>
      <c r="G7" s="3">
        <v>321.29000000000002</v>
      </c>
      <c r="H7" s="14">
        <v>4930</v>
      </c>
      <c r="I7" s="14">
        <v>1686.25</v>
      </c>
      <c r="J7" s="3">
        <v>286.07</v>
      </c>
      <c r="K7" s="14">
        <v>17706.61</v>
      </c>
      <c r="L7" s="14"/>
      <c r="M7" s="14">
        <f t="shared" ref="M7:U7" si="0">C7/C8-1</f>
        <v>-5.1722164220165956E-3</v>
      </c>
      <c r="N7" s="14">
        <f t="shared" si="0"/>
        <v>-0.13056356067883446</v>
      </c>
      <c r="O7" s="14">
        <f t="shared" si="0"/>
        <v>-8.5453175051818375E-2</v>
      </c>
      <c r="P7" s="14">
        <f t="shared" si="0"/>
        <v>-6.9871209816448676E-2</v>
      </c>
      <c r="Q7" s="14">
        <f t="shared" si="0"/>
        <v>4.2032886842020112E-2</v>
      </c>
      <c r="R7" s="14">
        <f t="shared" si="0"/>
        <v>-7.902110965813558E-2</v>
      </c>
      <c r="S7" s="14">
        <f t="shared" si="0"/>
        <v>-5.0577676681230588E-2</v>
      </c>
      <c r="T7" s="14">
        <f t="shared" si="0"/>
        <v>6.4129747424022554E-2</v>
      </c>
      <c r="U7" s="14">
        <f t="shared" si="0"/>
        <v>-5.0889258147512884E-2</v>
      </c>
      <c r="W7" s="6" t="s">
        <v>7</v>
      </c>
      <c r="X7" s="15">
        <f>AVERAGE(N7:N258)</f>
        <v>3.4663103530203014E-2</v>
      </c>
      <c r="Y7" s="16">
        <f>_xlfn.STDEV.S(N7:N258)</f>
        <v>0.14118443197833172</v>
      </c>
      <c r="Z7" s="17">
        <f t="shared" ref="Z7:Z15" si="1">12*X7</f>
        <v>0.41595724236243614</v>
      </c>
      <c r="AA7" s="3">
        <f t="shared" ref="AA7:AA15" si="2">SQRT(252)*Y7</f>
        <v>2.241233376051484</v>
      </c>
      <c r="AB7" s="18">
        <f>_xlfn.COVARIANCE.S(M7:M258,N7:N258)/_xlfn.VAR.S(M7:M258)</f>
        <v>0.91677519157037657</v>
      </c>
      <c r="AC7" s="14"/>
      <c r="AD7" s="6" t="s">
        <v>8</v>
      </c>
      <c r="AE7" s="19">
        <f>_xlfn.COVARIANCE.S(N7:N258,O7:O258)</f>
        <v>5.5586954535684864E-3</v>
      </c>
      <c r="AF7" s="3">
        <f>_xlfn.COVARIANCE.S(O7:O258,O7:O258)</f>
        <v>1.0979695194454847E-2</v>
      </c>
      <c r="AG7" s="3">
        <f>_xlfn.COVARIANCE.S(P7:P258,O7:O258)</f>
        <v>8.708089193827617E-4</v>
      </c>
      <c r="AH7" s="3">
        <f>_xlfn.COVARIANCE.S(Q7:Q258,O7:O258)</f>
        <v>1.2593226321179847E-3</v>
      </c>
      <c r="AI7" s="3">
        <f>_xlfn.COVARIANCE.S(R7:R258,O7:O258)</f>
        <v>1.663676914042185E-3</v>
      </c>
      <c r="AJ7" s="3">
        <f>_xlfn.COVARIANCE.S(S7:S258,O7:O258)</f>
        <v>-9.8647837349661715E-4</v>
      </c>
      <c r="AK7" s="3">
        <f>_xlfn.COVARIANCE.S(T7:T258,O7:O258)</f>
        <v>9.7232285370216025E-4</v>
      </c>
      <c r="AL7" s="3">
        <f>_xlfn.COVARIANCE.S(U7:U258,O7:O258)</f>
        <v>7.1530172109813075E-4</v>
      </c>
      <c r="AP7" s="6" t="s">
        <v>7</v>
      </c>
      <c r="AQ7" s="6" t="s">
        <v>8</v>
      </c>
      <c r="AR7" s="6" t="s">
        <v>9</v>
      </c>
      <c r="AS7" s="6" t="s">
        <v>10</v>
      </c>
      <c r="AT7" s="6" t="s">
        <v>19</v>
      </c>
      <c r="AZ7" s="6" t="s">
        <v>7</v>
      </c>
      <c r="BA7" s="6" t="s">
        <v>8</v>
      </c>
      <c r="BB7" s="6" t="s">
        <v>9</v>
      </c>
      <c r="BC7" s="6" t="s">
        <v>10</v>
      </c>
      <c r="BD7" s="6" t="s">
        <v>11</v>
      </c>
      <c r="BE7" s="20"/>
      <c r="BF7" s="1"/>
      <c r="BG7" s="1"/>
    </row>
    <row r="8" spans="2:59" ht="14.25" customHeight="1">
      <c r="B8" s="13" t="s">
        <v>26</v>
      </c>
      <c r="C8" s="14">
        <v>52325.73</v>
      </c>
      <c r="D8" s="3">
        <v>124.92</v>
      </c>
      <c r="E8" s="3">
        <v>212.28</v>
      </c>
      <c r="F8" s="3">
        <v>98.61</v>
      </c>
      <c r="G8" s="3">
        <v>308.33</v>
      </c>
      <c r="H8" s="14">
        <v>5353</v>
      </c>
      <c r="I8" s="14">
        <v>1776.08</v>
      </c>
      <c r="J8" s="3">
        <v>268.83</v>
      </c>
      <c r="K8" s="14">
        <v>18656</v>
      </c>
      <c r="L8" s="14"/>
      <c r="M8" s="14">
        <f t="shared" ref="M8:U8" si="3">C8/C9-1</f>
        <v>2.1796724164428127E-2</v>
      </c>
      <c r="N8" s="14">
        <f t="shared" si="3"/>
        <v>4.0393104022653503E-2</v>
      </c>
      <c r="O8" s="14">
        <f t="shared" si="3"/>
        <v>-0.10686637495792661</v>
      </c>
      <c r="P8" s="14">
        <f t="shared" si="3"/>
        <v>4.5843520782395952E-3</v>
      </c>
      <c r="Q8" s="14">
        <f t="shared" si="3"/>
        <v>6.7994457914790418E-2</v>
      </c>
      <c r="R8" s="14">
        <f t="shared" si="3"/>
        <v>-3.5495495495495466E-2</v>
      </c>
      <c r="S8" s="14">
        <f t="shared" si="3"/>
        <v>4.7834808259586969E-2</v>
      </c>
      <c r="T8" s="14">
        <f t="shared" si="3"/>
        <v>0.15367779589734765</v>
      </c>
      <c r="U8" s="14">
        <f t="shared" si="3"/>
        <v>9.7153610915078792E-2</v>
      </c>
      <c r="W8" s="6" t="s">
        <v>8</v>
      </c>
      <c r="X8" s="21">
        <f>AVERAGE(O7:O258)</f>
        <v>2.333606679248475E-2</v>
      </c>
      <c r="Y8" s="3">
        <f>_xlfn.STDEV.S(O7:O258)</f>
        <v>0.10478404074311533</v>
      </c>
      <c r="Z8" s="17">
        <f t="shared" si="1"/>
        <v>0.28003280150981702</v>
      </c>
      <c r="AA8" s="3">
        <f t="shared" si="2"/>
        <v>1.6633950790484573</v>
      </c>
      <c r="AB8" s="18">
        <f>_xlfn.COVARIANCE.S(M7:M258,O7:O258)/_xlfn.VAR.S(M7:M258)</f>
        <v>0.57482310002946846</v>
      </c>
      <c r="AD8" s="6" t="s">
        <v>9</v>
      </c>
      <c r="AE8" s="3">
        <f>_xlfn.COVARIANCE.S(N7:N258,P7:P258)</f>
        <v>1.0933749590971073E-3</v>
      </c>
      <c r="AF8" s="4">
        <f>_xlfn.COVARIANCE.S(O7:O258,P7:P258)</f>
        <v>8.708089193827617E-4</v>
      </c>
      <c r="AG8" s="3">
        <f>_xlfn.COVARIANCE.S(P7:P258,P7:P258)</f>
        <v>2.4797868330011601E-3</v>
      </c>
      <c r="AH8" s="3">
        <f>_xlfn.COVARIANCE.S(Q7:Q258,P7:P258)</f>
        <v>6.0444373182691545E-4</v>
      </c>
      <c r="AI8" s="3">
        <f>_xlfn.COVARIANCE.S(R7:R258,P7:P258)</f>
        <v>6.6370273184201793E-4</v>
      </c>
      <c r="AJ8" s="3">
        <f>_xlfn.COVARIANCE.S(S7:S258,P7:P258)</f>
        <v>-8.7273540653676467E-4</v>
      </c>
      <c r="AK8" s="3">
        <f>_xlfn.COVARIANCE.S(T7:T258,P7:P258)</f>
        <v>6.3071127890285475E-4</v>
      </c>
      <c r="AL8" s="3">
        <f>_xlfn.COVARIANCE.S(U7:U258,P7:P258)</f>
        <v>4.0674062459914947E-4</v>
      </c>
      <c r="AO8" s="6" t="s">
        <v>7</v>
      </c>
      <c r="AP8" s="12">
        <f>_xlfn.COVARIANCE.S(Y9:Y260,Y9:Y260)</f>
        <v>3.7676359377276106E-4</v>
      </c>
      <c r="AQ8" s="3">
        <f>_xlfn.COVARIANCE.S(Z9:Z260,Y9:Y260)</f>
        <v>3.84643381008501E-4</v>
      </c>
      <c r="AR8" s="3">
        <f>_xlfn.COVARIANCE.S(AA9:AA260,Y9:Y260)</f>
        <v>5.9809366331141367E-3</v>
      </c>
      <c r="AS8" s="3">
        <f>_xlfn.COVARIANCE.S(AB9:AB260,Y9:Y260)</f>
        <v>-6.5734890763292832E-4</v>
      </c>
      <c r="AT8" s="3">
        <v>-1.6534178525632354E-3</v>
      </c>
      <c r="AY8" s="6" t="s">
        <v>7</v>
      </c>
      <c r="AZ8" s="22">
        <v>1.993304383304418E-2</v>
      </c>
      <c r="BA8" s="3">
        <v>5.558695453568489E-3</v>
      </c>
      <c r="BB8" s="23">
        <v>1.0933749590971069E-3</v>
      </c>
      <c r="BC8" s="23">
        <v>8.4257299341314882E-4</v>
      </c>
      <c r="BD8" s="23">
        <v>2.161320366729837E-3</v>
      </c>
      <c r="BE8" s="23"/>
      <c r="BF8" s="24"/>
      <c r="BG8" s="24"/>
    </row>
    <row r="9" spans="2:59" ht="14.25" customHeight="1">
      <c r="B9" s="13" t="s">
        <v>27</v>
      </c>
      <c r="C9" s="14">
        <v>51209.53</v>
      </c>
      <c r="D9" s="3">
        <v>120.07</v>
      </c>
      <c r="E9" s="3">
        <v>237.68</v>
      </c>
      <c r="F9" s="3">
        <v>98.16</v>
      </c>
      <c r="G9" s="3">
        <v>288.7</v>
      </c>
      <c r="H9" s="14">
        <v>5550</v>
      </c>
      <c r="I9" s="14">
        <v>1695</v>
      </c>
      <c r="J9" s="3">
        <v>233.02</v>
      </c>
      <c r="K9" s="14">
        <v>17004</v>
      </c>
      <c r="L9" s="14"/>
      <c r="M9" s="14">
        <f t="shared" ref="M9:U9" si="4">C9/C10-1</f>
        <v>3.4258694689322633E-2</v>
      </c>
      <c r="N9" s="14">
        <f t="shared" si="4"/>
        <v>-0.10589023754561022</v>
      </c>
      <c r="O9" s="14">
        <f t="shared" si="4"/>
        <v>8.3367519030038029E-2</v>
      </c>
      <c r="P9" s="14">
        <f t="shared" si="4"/>
        <v>8.6441615938018801E-2</v>
      </c>
      <c r="Q9" s="14">
        <f t="shared" si="4"/>
        <v>-4.1050053468556502E-3</v>
      </c>
      <c r="R9" s="14">
        <f t="shared" si="4"/>
        <v>0.11733868045321683</v>
      </c>
      <c r="S9" s="14">
        <f t="shared" si="4"/>
        <v>-2.1927293710328866E-2</v>
      </c>
      <c r="T9" s="14">
        <f t="shared" si="4"/>
        <v>0.14788177339901476</v>
      </c>
      <c r="U9" s="14">
        <f t="shared" si="4"/>
        <v>6.2342989842016916E-2</v>
      </c>
      <c r="W9" s="6" t="s">
        <v>9</v>
      </c>
      <c r="X9" s="21">
        <f>AVERAGE(P7:P258)</f>
        <v>7.316835299197251E-3</v>
      </c>
      <c r="Y9" s="3">
        <f>_xlfn.STDEV.S(P7:P258)</f>
        <v>4.9797458097790119E-2</v>
      </c>
      <c r="Z9" s="17">
        <f t="shared" si="1"/>
        <v>8.7802023590367012E-2</v>
      </c>
      <c r="AA9" s="3">
        <f t="shared" si="2"/>
        <v>0.79051014029947342</v>
      </c>
      <c r="AB9" s="18">
        <f>_xlfn.COVARIANCE.S(M7:M258,P7:P258)/_xlfn.VAR.S(M7:M258)</f>
        <v>0.13587068902067562</v>
      </c>
      <c r="AD9" s="6" t="s">
        <v>18</v>
      </c>
      <c r="AE9" s="3">
        <f>_xlfn.COVARIANCE.S(N7:N258,Q7:Q258)</f>
        <v>8.4257299341314892E-4</v>
      </c>
      <c r="AF9" s="3">
        <f>_xlfn.COVARIANCE.S(O7:O258,Q7:Q258)</f>
        <v>1.2593226321179847E-3</v>
      </c>
      <c r="AG9" s="3">
        <f>_xlfn.COVARIANCE.S(P7:P258,Q7:Q258)</f>
        <v>6.0444373182691545E-4</v>
      </c>
      <c r="AH9" s="3">
        <f>_xlfn.COVARIANCE.S(Q7:Q258,Q7:Q258)</f>
        <v>2.1448738671897751E-3</v>
      </c>
      <c r="AI9" s="3">
        <f>_xlfn.COVARIANCE.S(R7:R258,Q7:Q258)</f>
        <v>6.5811596645257273E-4</v>
      </c>
      <c r="AJ9" s="3">
        <f>_xlfn.COVARIANCE.S(S7:S258,Q7:Q258)</f>
        <v>-4.0638199967459667E-4</v>
      </c>
      <c r="AK9" s="3">
        <f>_xlfn.COVARIANCE.S(T7:T258,Q7:Q258)</f>
        <v>8.20517946720941E-4</v>
      </c>
      <c r="AL9" s="3">
        <f>_xlfn.COVARIANCE.S(U7:U258,Q7:Q258)</f>
        <v>-1.399959400943351E-4</v>
      </c>
      <c r="AO9" s="6" t="s">
        <v>8</v>
      </c>
      <c r="AP9" s="19">
        <f>_xlfn.COVARIANCE.S(Y9:Y260,Z9:Z260)</f>
        <v>3.84643381008501E-4</v>
      </c>
      <c r="AQ9" s="3">
        <f>_xlfn.COVARIANCE.S(Z9:Z260,Z9:Z260)</f>
        <v>2.1723081551420211</v>
      </c>
      <c r="AR9" s="3">
        <f>_xlfn.COVARIANCE.S(AA9:AA260,Z9:Z260)</f>
        <v>6.1060243775733491E-3</v>
      </c>
      <c r="AS9" s="3">
        <f>_xlfn.COVARIANCE.S(AB9:AB260,Z9:Z260)</f>
        <v>-1.9512742853146706E-2</v>
      </c>
      <c r="AT9" s="3">
        <v>-9.8647837349661693E-4</v>
      </c>
      <c r="AX9" s="5"/>
      <c r="AY9" s="6" t="s">
        <v>8</v>
      </c>
      <c r="AZ9" s="25">
        <v>5.558695453568489E-3</v>
      </c>
      <c r="BA9" s="3">
        <v>1.0979695194454851E-2</v>
      </c>
      <c r="BB9" s="3">
        <v>8.7080891938276039E-4</v>
      </c>
      <c r="BC9" s="3">
        <v>1.2593226321179834E-3</v>
      </c>
      <c r="BD9" s="3">
        <v>1.6636769140421846E-3</v>
      </c>
    </row>
    <row r="10" spans="2:59" ht="14.25" customHeight="1">
      <c r="B10" s="13" t="s">
        <v>28</v>
      </c>
      <c r="C10" s="14">
        <v>49513.27</v>
      </c>
      <c r="D10" s="3">
        <v>134.29</v>
      </c>
      <c r="E10" s="3">
        <v>219.39</v>
      </c>
      <c r="F10" s="3">
        <v>90.35</v>
      </c>
      <c r="G10" s="3">
        <v>289.89</v>
      </c>
      <c r="H10" s="14">
        <v>4967.16</v>
      </c>
      <c r="I10" s="14">
        <v>1733</v>
      </c>
      <c r="J10" s="3">
        <v>203</v>
      </c>
      <c r="K10" s="14">
        <v>16006.13</v>
      </c>
      <c r="L10" s="14"/>
      <c r="M10" s="14">
        <f t="shared" ref="M10:U10" si="5">C10/C11-1</f>
        <v>-6.0099203736241336E-3</v>
      </c>
      <c r="N10" s="14">
        <f t="shared" si="5"/>
        <v>-2.8643761301989201E-2</v>
      </c>
      <c r="O10" s="14">
        <f t="shared" si="5"/>
        <v>5.5317716099860581E-2</v>
      </c>
      <c r="P10" s="14">
        <f t="shared" si="5"/>
        <v>-2.3243243243243339E-2</v>
      </c>
      <c r="Q10" s="14">
        <f t="shared" si="5"/>
        <v>-2.0674977196716293E-2</v>
      </c>
      <c r="R10" s="14">
        <f t="shared" si="5"/>
        <v>-2.9953872052556951E-2</v>
      </c>
      <c r="S10" s="14">
        <f t="shared" si="5"/>
        <v>0.10452517527087313</v>
      </c>
      <c r="T10" s="14">
        <f t="shared" si="5"/>
        <v>4.4453591273924564E-2</v>
      </c>
      <c r="U10" s="14">
        <f t="shared" si="5"/>
        <v>-1.0776552022496277E-2</v>
      </c>
      <c r="W10" s="6" t="s">
        <v>18</v>
      </c>
      <c r="X10" s="21">
        <f>AVERAGE(Q7:Q258)</f>
        <v>1.0707329308366277E-2</v>
      </c>
      <c r="Y10" s="3">
        <f>_xlfn.STDEV.S(Q7:Q258)</f>
        <v>4.6312782978242387E-2</v>
      </c>
      <c r="Z10" s="17">
        <f t="shared" si="1"/>
        <v>0.12848795170039531</v>
      </c>
      <c r="AA10" s="3">
        <f t="shared" si="2"/>
        <v>0.73519263770240795</v>
      </c>
      <c r="AB10" s="18">
        <f>_xlfn.COVARIANCE.S(M7:M258,Q7:Q258)/_xlfn.VAR.S(M7:M258)</f>
        <v>0.42123482616837987</v>
      </c>
      <c r="AD10" s="6" t="s">
        <v>11</v>
      </c>
      <c r="AE10" s="3">
        <f>_xlfn.COVARIANCE.S(N7:N258,R7:R258)</f>
        <v>2.1613203667298362E-3</v>
      </c>
      <c r="AF10" s="3">
        <f>_xlfn.COVARIANCE.S(O7:O258,R7:R258)</f>
        <v>1.663676914042185E-3</v>
      </c>
      <c r="AG10" s="3">
        <f>_xlfn.COVARIANCE.S(P7:P258,R7:R258)</f>
        <v>6.6370273184201793E-4</v>
      </c>
      <c r="AH10" s="3">
        <f>_xlfn.COVARIANCE.S(Q7:Q258,R7:R258)</f>
        <v>6.5811596645257273E-4</v>
      </c>
      <c r="AI10" s="3">
        <f>_xlfn.COVARIANCE.S(R7:R258,R7:R258)</f>
        <v>6.3856877769820387E-3</v>
      </c>
      <c r="AJ10" s="3">
        <f>_xlfn.COVARIANCE.S(S7:S258,R7:R258)</f>
        <v>-3.7678130259181236E-4</v>
      </c>
      <c r="AK10" s="3">
        <f>_xlfn.COVARIANCE.S(T7:T258,R7:R258)</f>
        <v>3.1711621369462976E-3</v>
      </c>
      <c r="AL10" s="3">
        <f>_xlfn.COVARIANCE.S(U7:U258,R7:R258)</f>
        <v>3.4731675030589198E-4</v>
      </c>
      <c r="AO10" s="6" t="s">
        <v>9</v>
      </c>
      <c r="AP10" s="3">
        <f>_xlfn.COVARIANCE.S(Y9:Y260,AA9:AA260)</f>
        <v>5.9809366331141367E-3</v>
      </c>
      <c r="AQ10" s="4">
        <f>_xlfn.COVARIANCE.S(Z9:Z260,AA9:AA260)</f>
        <v>6.1060243775733491E-3</v>
      </c>
      <c r="AR10" s="3">
        <f>_xlfn.COVARIANCE.S(AA9:AA260,AA9:AA260)</f>
        <v>9.494442563073581E-2</v>
      </c>
      <c r="AS10" s="3">
        <f>_xlfn.COVARIANCE.S(AB9:AB260,AA9:AA260)</f>
        <v>-1.0435090405180166E-2</v>
      </c>
      <c r="AT10" s="3">
        <v>-8.7273540653676478E-4</v>
      </c>
      <c r="AY10" s="6" t="s">
        <v>9</v>
      </c>
      <c r="AZ10" s="3">
        <v>1.0933749590971069E-3</v>
      </c>
      <c r="BA10" s="3">
        <v>8.7080891938276039E-4</v>
      </c>
      <c r="BB10" s="3">
        <v>2.4797868330011601E-3</v>
      </c>
      <c r="BC10" s="3">
        <v>6.044437318269161E-4</v>
      </c>
      <c r="BD10" s="3">
        <v>6.6370273184201771E-4</v>
      </c>
    </row>
    <row r="11" spans="2:59" ht="14.25" customHeight="1">
      <c r="B11" s="13" t="s">
        <v>29</v>
      </c>
      <c r="C11" s="14">
        <v>49812.639999999999</v>
      </c>
      <c r="D11" s="3">
        <v>138.25</v>
      </c>
      <c r="E11" s="3">
        <v>207.89</v>
      </c>
      <c r="F11" s="3">
        <v>92.5</v>
      </c>
      <c r="G11" s="3">
        <v>296.01</v>
      </c>
      <c r="H11" s="14">
        <v>5120.54</v>
      </c>
      <c r="I11" s="14">
        <v>1569</v>
      </c>
      <c r="J11" s="3">
        <v>194.36</v>
      </c>
      <c r="K11" s="14">
        <v>16180.5</v>
      </c>
      <c r="L11" s="14"/>
      <c r="M11" s="14">
        <f t="shared" ref="M11:U11" si="6">C11/C12-1</f>
        <v>-1.6746790680414292E-2</v>
      </c>
      <c r="N11" s="14">
        <f t="shared" si="6"/>
        <v>4.1352817113588403E-2</v>
      </c>
      <c r="O11" s="14">
        <f t="shared" si="6"/>
        <v>0.11528969957081525</v>
      </c>
      <c r="P11" s="14">
        <f t="shared" si="6"/>
        <v>0.12873703477730314</v>
      </c>
      <c r="Q11" s="14">
        <f t="shared" si="6"/>
        <v>1.3351134846461887E-2</v>
      </c>
      <c r="R11" s="14">
        <f t="shared" si="6"/>
        <v>0.1497788256427528</v>
      </c>
      <c r="S11" s="14">
        <f t="shared" si="6"/>
        <v>-2.8687458986962455E-2</v>
      </c>
      <c r="T11" s="14">
        <f t="shared" si="6"/>
        <v>-3.2938600855806466E-2</v>
      </c>
      <c r="U11" s="14">
        <f t="shared" si="6"/>
        <v>-3.235355679813412E-2</v>
      </c>
      <c r="W11" s="6" t="s">
        <v>11</v>
      </c>
      <c r="X11" s="21">
        <f>AVERAGE(R7:R230)</f>
        <v>1.3474358556107216E-2</v>
      </c>
      <c r="Y11" s="3">
        <f>_xlfn.STDEV.S(R7:R230)</f>
        <v>7.9910498540442312E-2</v>
      </c>
      <c r="Z11" s="26">
        <f t="shared" si="1"/>
        <v>0.1616923026732866</v>
      </c>
      <c r="AA11" s="3">
        <f t="shared" si="2"/>
        <v>1.2685398376872019</v>
      </c>
      <c r="AB11" s="18">
        <f>_xlfn.COVARIANCE.S(M7:M258,R7:R258)/_xlfn.VAR.S(M7:M258)</f>
        <v>0.46304603615271556</v>
      </c>
      <c r="AD11" s="6" t="s">
        <v>19</v>
      </c>
      <c r="AE11" s="3">
        <f>_xlfn.COVARIANCE.S(N7:N258,S7:S258)</f>
        <v>-1.6534178525632358E-3</v>
      </c>
      <c r="AF11" s="3">
        <f>_xlfn.COVARIANCE.S(O7:O258,S7:S258)</f>
        <v>-9.8647837349661715E-4</v>
      </c>
      <c r="AG11" s="3">
        <f>_xlfn.COVARIANCE.S(P7:P258,S7:S258)</f>
        <v>-8.7273540653676467E-4</v>
      </c>
      <c r="AH11" s="3">
        <f>_xlfn.COVARIANCE.S(Q7:Q258,S7:S258)</f>
        <v>-4.0638199967459667E-4</v>
      </c>
      <c r="AI11" s="3">
        <f>_xlfn.COVARIANCE.S(R7:R258,S7:S258)</f>
        <v>-3.7678130259181236E-4</v>
      </c>
      <c r="AJ11" s="3">
        <f>_xlfn.COVARIANCE.S(S7:S258,S7:S258)</f>
        <v>6.1172282111183855E-3</v>
      </c>
      <c r="AK11" s="3">
        <f>_xlfn.COVARIANCE.S(T7:T258,S7:S258)</f>
        <v>-1.0951572096514703E-3</v>
      </c>
      <c r="AL11" s="3">
        <f>_xlfn.COVARIANCE.S(U7:U258,S7:S258)</f>
        <v>-1.0841060024666575E-4</v>
      </c>
      <c r="AO11" s="6" t="s">
        <v>18</v>
      </c>
      <c r="AP11" s="3">
        <f>_xlfn.COVARIANCE.S(Y9:Y260,AB9:AB260)</f>
        <v>-6.5734890763292832E-4</v>
      </c>
      <c r="AQ11" s="3">
        <f>_xlfn.COVARIANCE.S(Z9:Z260,AB9:AB260)</f>
        <v>-1.9512742853146706E-2</v>
      </c>
      <c r="AR11" s="3">
        <f>_xlfn.COVARIANCE.S(AA9:AA260,AB9:AB260)</f>
        <v>-1.0435090405180166E-2</v>
      </c>
      <c r="AS11" s="3">
        <f>_xlfn.COVARIANCE.S(AB9:AB260,AB9:AB260)</f>
        <v>0.24125485220272966</v>
      </c>
      <c r="AT11" s="3">
        <v>-4.0638199967459683E-4</v>
      </c>
      <c r="AY11" s="6" t="s">
        <v>18</v>
      </c>
      <c r="AZ11" s="3">
        <v>8.4257299341314882E-4</v>
      </c>
      <c r="BA11" s="3">
        <v>1.2593226321179834E-3</v>
      </c>
      <c r="BB11" s="3">
        <v>6.044437318269161E-4</v>
      </c>
      <c r="BC11" s="3">
        <v>2.1448738671897773E-3</v>
      </c>
      <c r="BD11" s="3">
        <v>6.5811596645257294E-4</v>
      </c>
    </row>
    <row r="12" spans="2:59" ht="14.25" customHeight="1">
      <c r="B12" s="13" t="s">
        <v>30</v>
      </c>
      <c r="C12" s="14">
        <v>50661.05</v>
      </c>
      <c r="D12" s="3">
        <v>132.76</v>
      </c>
      <c r="E12" s="3">
        <v>186.4</v>
      </c>
      <c r="F12" s="3">
        <v>81.95</v>
      </c>
      <c r="G12" s="3">
        <v>292.11</v>
      </c>
      <c r="H12" s="14">
        <v>4453.5</v>
      </c>
      <c r="I12" s="14">
        <v>1615.34</v>
      </c>
      <c r="J12" s="3">
        <v>200.98</v>
      </c>
      <c r="K12" s="14">
        <v>16721.5</v>
      </c>
      <c r="L12" s="14"/>
      <c r="M12" s="14">
        <f t="shared" ref="M12:U12" si="7">C12/C13-1</f>
        <v>-3.4610202887724761E-2</v>
      </c>
      <c r="N12" s="14">
        <f t="shared" si="7"/>
        <v>9.3214756258234388E-2</v>
      </c>
      <c r="O12" s="14">
        <f t="shared" si="7"/>
        <v>3.7567756131595686E-4</v>
      </c>
      <c r="P12" s="14">
        <f t="shared" si="7"/>
        <v>1.4860681114551078E-2</v>
      </c>
      <c r="Q12" s="14">
        <f t="shared" si="7"/>
        <v>-4.0721158582640915E-2</v>
      </c>
      <c r="R12" s="14">
        <f t="shared" si="7"/>
        <v>7.8616580687350224E-2</v>
      </c>
      <c r="S12" s="14">
        <f t="shared" si="7"/>
        <v>7.0002517123060715E-2</v>
      </c>
      <c r="T12" s="14">
        <f t="shared" si="7"/>
        <v>-6.9321602222736756E-2</v>
      </c>
      <c r="U12" s="14">
        <f t="shared" si="7"/>
        <v>-3.4834054834054884E-2</v>
      </c>
      <c r="W12" s="6" t="s">
        <v>19</v>
      </c>
      <c r="X12" s="21">
        <f>AVERAGE(S7:S117)</f>
        <v>1.1735722774465746E-2</v>
      </c>
      <c r="Y12" s="3">
        <f>_xlfn.STDEV.S(S7:S117)</f>
        <v>7.821271131419999E-2</v>
      </c>
      <c r="Z12" s="26">
        <f t="shared" si="1"/>
        <v>0.14082867329358895</v>
      </c>
      <c r="AA12" s="3">
        <f t="shared" si="2"/>
        <v>1.2415883010087658</v>
      </c>
      <c r="AB12" s="18">
        <f>_xlfn.COVARIANCE.S(M7:M258,S7:S258)/_xlfn.VAR.S(M7:M258)</f>
        <v>-0.17781776010900333</v>
      </c>
      <c r="AD12" s="6" t="s">
        <v>13</v>
      </c>
      <c r="AE12" s="3">
        <f>_xlfn.COVARIANCE.S(N7:N258,T7:T258)</f>
        <v>2.7865211181910313E-3</v>
      </c>
      <c r="AF12" s="3">
        <f>_xlfn.COVARIANCE.S(O7:O258,T7:T258)</f>
        <v>9.7232285370216025E-4</v>
      </c>
      <c r="AG12" s="3">
        <f>_xlfn.COVARIANCE.S(P7:P258,T7:T258)</f>
        <v>6.3071127890285475E-4</v>
      </c>
      <c r="AH12" s="3">
        <f>_xlfn.COVARIANCE.S(Q7:Q258,T7:T258)</f>
        <v>8.20517946720941E-4</v>
      </c>
      <c r="AI12" s="3">
        <f>_xlfn.COVARIANCE.S(R7:R258,T7:T258)</f>
        <v>3.1711621369462976E-3</v>
      </c>
      <c r="AJ12" s="3">
        <f>_xlfn.COVARIANCE.S(S7:S258,T7:T258)</f>
        <v>-1.0951572096514703E-3</v>
      </c>
      <c r="AK12" s="3">
        <f>_xlfn.COVARIANCE.S(T7:T258,T7:T258)</f>
        <v>8.7216950613091E-3</v>
      </c>
      <c r="AL12" s="3">
        <f>_xlfn.COVARIANCE.S(U7:U258,T7:T258)</f>
        <v>1.5511077157751498E-4</v>
      </c>
      <c r="AO12" s="6" t="s">
        <v>19</v>
      </c>
      <c r="AP12" s="3">
        <v>-1.6534178525632354E-3</v>
      </c>
      <c r="AQ12" s="3">
        <v>-9.8647837349661693E-4</v>
      </c>
      <c r="AR12" s="3">
        <v>-8.7273540653676478E-4</v>
      </c>
      <c r="AS12" s="3">
        <v>-4.0638199967459683E-4</v>
      </c>
      <c r="AT12" s="3">
        <v>6.1172282111183855E-3</v>
      </c>
      <c r="AY12" s="6" t="s">
        <v>11</v>
      </c>
      <c r="AZ12" s="3">
        <v>2.161320366729837E-3</v>
      </c>
      <c r="BA12" s="3">
        <v>1.6636769140421846E-3</v>
      </c>
      <c r="BB12" s="3">
        <v>6.6370273184201771E-4</v>
      </c>
      <c r="BC12" s="3">
        <v>6.5811596645257294E-4</v>
      </c>
      <c r="BD12" s="3">
        <v>6.3856877769820405E-3</v>
      </c>
    </row>
    <row r="13" spans="2:59" ht="14.25" customHeight="1">
      <c r="B13" s="13" t="s">
        <v>31</v>
      </c>
      <c r="C13" s="14">
        <v>52477.3</v>
      </c>
      <c r="D13" s="3">
        <v>121.44</v>
      </c>
      <c r="E13" s="3">
        <v>186.33</v>
      </c>
      <c r="F13" s="3">
        <v>80.75</v>
      </c>
      <c r="G13" s="3">
        <v>304.51</v>
      </c>
      <c r="H13" s="14">
        <v>4128.8999999999996</v>
      </c>
      <c r="I13" s="14">
        <v>1509.66</v>
      </c>
      <c r="J13" s="3">
        <v>215.95</v>
      </c>
      <c r="K13" s="14">
        <v>17325</v>
      </c>
      <c r="L13" s="14"/>
      <c r="M13" s="14">
        <f t="shared" ref="M13:U13" si="8">C13/C14-1</f>
        <v>9.4531456336115482E-3</v>
      </c>
      <c r="N13" s="14">
        <f t="shared" si="8"/>
        <v>1.7341040462427681E-2</v>
      </c>
      <c r="O13" s="14">
        <f t="shared" si="8"/>
        <v>4.3865546218487372E-2</v>
      </c>
      <c r="P13" s="14">
        <f t="shared" si="8"/>
        <v>4.5578143208597544E-2</v>
      </c>
      <c r="Q13" s="14">
        <f t="shared" si="8"/>
        <v>5.4908889350793189E-2</v>
      </c>
      <c r="R13" s="14">
        <f t="shared" si="8"/>
        <v>-6.5766727909565836E-2</v>
      </c>
      <c r="S13" s="14">
        <f t="shared" si="8"/>
        <v>5.941052631578958E-2</v>
      </c>
      <c r="T13" s="14">
        <f t="shared" si="8"/>
        <v>4.8199203960780368E-2</v>
      </c>
      <c r="U13" s="14">
        <f t="shared" si="8"/>
        <v>-6.8687583253685736E-2</v>
      </c>
      <c r="W13" s="6" t="s">
        <v>13</v>
      </c>
      <c r="X13" s="21">
        <f>AVERAGE(T7:T240)</f>
        <v>6.4296973864318013E-3</v>
      </c>
      <c r="Y13" s="3">
        <f>_xlfn.STDEV.S(T7:T240)</f>
        <v>9.3390015854528552E-2</v>
      </c>
      <c r="Z13" s="26">
        <f t="shared" si="1"/>
        <v>7.7156368637181616E-2</v>
      </c>
      <c r="AA13" s="3">
        <f t="shared" si="2"/>
        <v>1.4825205413247711</v>
      </c>
      <c r="AB13" s="18">
        <f>_xlfn.COVARIANCE.S(M7:M258,T7:T258)/_xlfn.VAR.S(M7:M258)</f>
        <v>1.0221008457109388</v>
      </c>
      <c r="AD13" s="6" t="s">
        <v>14</v>
      </c>
      <c r="AE13" s="3">
        <f>_xlfn.COVARIANCE.S(N7:N258,U7:U258)</f>
        <v>-1.1397418011336195E-4</v>
      </c>
      <c r="AF13" s="3">
        <f>_xlfn.COVARIANCE.S(O7:O258,U7:U258)</f>
        <v>7.1530172109813075E-4</v>
      </c>
      <c r="AG13" s="3">
        <f>_xlfn.COVARIANCE.S(P7:P258,U7:U258)</f>
        <v>4.0674062459914947E-4</v>
      </c>
      <c r="AH13" s="3">
        <f>_xlfn.COVARIANCE.S(Q7:Q258,U7:U258)</f>
        <v>-1.399959400943351E-4</v>
      </c>
      <c r="AI13" s="3">
        <f>_xlfn.COVARIANCE.S(R7:R258,U7:U258)</f>
        <v>3.4731675030589198E-4</v>
      </c>
      <c r="AJ13" s="3">
        <f>_xlfn.COVARIANCE.S(S7:S258,U7:U258)</f>
        <v>-1.0841060024666575E-4</v>
      </c>
      <c r="AK13" s="3">
        <f>_xlfn.COVARIANCE.S(T7:T258,U7:U258)</f>
        <v>1.5511077157751498E-4</v>
      </c>
      <c r="AL13" s="3">
        <f>_xlfn.COVARIANCE.S(U7:U258,U7:U258)</f>
        <v>6.4679663118096435E-3</v>
      </c>
      <c r="AQ13" s="5"/>
    </row>
    <row r="14" spans="2:59" ht="14.25" customHeight="1">
      <c r="B14" s="13" t="s">
        <v>32</v>
      </c>
      <c r="C14" s="14">
        <v>51985.87</v>
      </c>
      <c r="D14" s="3">
        <v>119.37</v>
      </c>
      <c r="E14" s="3">
        <v>178.5</v>
      </c>
      <c r="F14" s="3">
        <v>77.23</v>
      </c>
      <c r="G14" s="3">
        <v>288.66000000000003</v>
      </c>
      <c r="H14" s="14">
        <v>4419.5600000000004</v>
      </c>
      <c r="I14" s="14">
        <v>1425</v>
      </c>
      <c r="J14" s="3">
        <v>206.02</v>
      </c>
      <c r="K14" s="14">
        <v>18602.78</v>
      </c>
      <c r="L14" s="14"/>
      <c r="M14" s="14">
        <f t="shared" ref="M14:U14" si="9">C14/C15-1</f>
        <v>-2.0870543302751732E-2</v>
      </c>
      <c r="N14" s="14">
        <f t="shared" si="9"/>
        <v>2.008203725858837E-2</v>
      </c>
      <c r="O14" s="14">
        <f t="shared" si="9"/>
        <v>-4.535244411166961E-2</v>
      </c>
      <c r="P14" s="14">
        <f t="shared" si="9"/>
        <v>0.12514568764568779</v>
      </c>
      <c r="Q14" s="14">
        <f t="shared" si="9"/>
        <v>8.7641296156744763E-2</v>
      </c>
      <c r="R14" s="14">
        <f t="shared" si="9"/>
        <v>0.10879851476454516</v>
      </c>
      <c r="S14" s="14">
        <f t="shared" si="9"/>
        <v>0.10095570681356381</v>
      </c>
      <c r="T14" s="14">
        <f t="shared" si="9"/>
        <v>5.6512820512820472E-2</v>
      </c>
      <c r="U14" s="14">
        <f t="shared" si="9"/>
        <v>0.24904438883521185</v>
      </c>
      <c r="W14" s="6" t="s">
        <v>14</v>
      </c>
      <c r="X14" s="21">
        <f>AVERAGE(U7:U196)</f>
        <v>2.1207744411477738E-2</v>
      </c>
      <c r="Y14" s="3">
        <f>_xlfn.STDEV.S(U7:U196)</f>
        <v>8.0423667609787905E-2</v>
      </c>
      <c r="Z14" s="26">
        <f t="shared" si="1"/>
        <v>0.25449293293773284</v>
      </c>
      <c r="AA14" s="3">
        <f t="shared" si="2"/>
        <v>1.2766861441153152</v>
      </c>
      <c r="AB14" s="18">
        <f>_xlfn.COVARIANCE.S(M7:M258,U7:U258)/_xlfn.VAR.S(M7:M258)</f>
        <v>-0.14157771773904215</v>
      </c>
      <c r="AO14" s="44" t="s">
        <v>33</v>
      </c>
      <c r="AP14" s="42"/>
      <c r="AQ14" s="42"/>
      <c r="AY14" s="44" t="s">
        <v>33</v>
      </c>
      <c r="AZ14" s="42"/>
      <c r="BA14" s="42"/>
    </row>
    <row r="15" spans="2:59" ht="14.25" customHeight="1">
      <c r="B15" s="13" t="s">
        <v>34</v>
      </c>
      <c r="C15" s="14">
        <v>53093.97</v>
      </c>
      <c r="D15" s="3">
        <v>117.02</v>
      </c>
      <c r="E15" s="3">
        <v>186.98</v>
      </c>
      <c r="F15" s="3">
        <v>68.64</v>
      </c>
      <c r="G15" s="3">
        <v>265.39999999999998</v>
      </c>
      <c r="H15" s="14">
        <v>3985.9</v>
      </c>
      <c r="I15" s="14">
        <v>1294.33</v>
      </c>
      <c r="J15" s="3">
        <v>195</v>
      </c>
      <c r="K15" s="14">
        <v>14893.61</v>
      </c>
      <c r="L15" s="14"/>
      <c r="M15" s="14">
        <f t="shared" ref="M15:U15" si="10">C15/C16-1</f>
        <v>1.2470437654295452E-2</v>
      </c>
      <c r="N15" s="14">
        <f t="shared" si="10"/>
        <v>-5.2776428687065002E-2</v>
      </c>
      <c r="O15" s="14">
        <f t="shared" si="10"/>
        <v>-3.2445019404915953E-2</v>
      </c>
      <c r="P15" s="14">
        <f t="shared" si="10"/>
        <v>1.3735046521931915E-2</v>
      </c>
      <c r="Q15" s="14">
        <f t="shared" si="10"/>
        <v>4.143776487207651E-2</v>
      </c>
      <c r="R15" s="14">
        <f t="shared" si="10"/>
        <v>7.7270270270270336E-2</v>
      </c>
      <c r="S15" s="14">
        <f t="shared" si="10"/>
        <v>8.3946771181401703E-2</v>
      </c>
      <c r="T15" s="14">
        <f t="shared" si="10"/>
        <v>6.7323481116584594E-2</v>
      </c>
      <c r="U15" s="14">
        <f t="shared" si="10"/>
        <v>-0.10769152422548534</v>
      </c>
      <c r="W15" s="6" t="s">
        <v>17</v>
      </c>
      <c r="X15" s="21">
        <f>AVERAGE(M7:M258)</f>
        <v>7.5040690239407491E-3</v>
      </c>
      <c r="Y15" s="3">
        <f>_xlfn.STDEV.S(M7:M258)</f>
        <v>4.7658757756562489E-2</v>
      </c>
      <c r="Z15" s="26">
        <f t="shared" si="1"/>
        <v>9.0048828287288996E-2</v>
      </c>
      <c r="AA15" s="3">
        <f t="shared" si="2"/>
        <v>0.75655932490880962</v>
      </c>
      <c r="AB15" s="3">
        <f>_xlfn.COVARIANCE.S(M7:M258,M7:M258)/_xlfn.VAR.S(M7:M258)</f>
        <v>0.999999999999999</v>
      </c>
    </row>
    <row r="16" spans="2:59" ht="14.25" customHeight="1">
      <c r="B16" s="13" t="s">
        <v>35</v>
      </c>
      <c r="C16" s="14">
        <v>52440.02</v>
      </c>
      <c r="D16" s="3">
        <v>123.54</v>
      </c>
      <c r="E16" s="3">
        <v>193.25</v>
      </c>
      <c r="F16" s="3">
        <v>67.709999999999994</v>
      </c>
      <c r="G16" s="3">
        <v>254.84</v>
      </c>
      <c r="H16" s="14">
        <v>3700</v>
      </c>
      <c r="I16" s="14">
        <v>1194.0899999999999</v>
      </c>
      <c r="J16" s="3">
        <v>182.7</v>
      </c>
      <c r="K16" s="14">
        <v>16691.099999999999</v>
      </c>
      <c r="L16" s="14"/>
      <c r="M16" s="14">
        <f t="shared" ref="M16:U16" si="11">C16/C17-1</f>
        <v>-4.9642220516266655E-2</v>
      </c>
      <c r="N16" s="14">
        <f t="shared" si="11"/>
        <v>0.1268813281036214</v>
      </c>
      <c r="O16" s="14">
        <f t="shared" si="11"/>
        <v>9.527318068465207E-2</v>
      </c>
      <c r="P16" s="14">
        <f t="shared" si="11"/>
        <v>2.965328467153272E-2</v>
      </c>
      <c r="Q16" s="14">
        <f t="shared" si="11"/>
        <v>-1.5643709683649365E-2</v>
      </c>
      <c r="R16" s="14">
        <f t="shared" si="11"/>
        <v>7.9365449803672217E-2</v>
      </c>
      <c r="S16" s="14">
        <f t="shared" si="11"/>
        <v>2.3257208963537224E-2</v>
      </c>
      <c r="T16" s="14">
        <f t="shared" si="11"/>
        <v>-4.3596730245232251E-3</v>
      </c>
      <c r="U16" s="14">
        <f t="shared" si="11"/>
        <v>0.20461085117577116</v>
      </c>
      <c r="AF16" s="43" t="s">
        <v>36</v>
      </c>
      <c r="AG16" s="42"/>
      <c r="AH16" s="42"/>
      <c r="AI16" s="42"/>
      <c r="AJ16" s="42"/>
      <c r="AO16" s="3" t="s">
        <v>37</v>
      </c>
      <c r="AP16" s="12">
        <v>3.7676359377276138E-4</v>
      </c>
      <c r="AQ16" s="3">
        <v>3.846433810085003E-4</v>
      </c>
      <c r="AR16" s="3">
        <v>5.9809366331141419E-3</v>
      </c>
      <c r="AS16" s="3">
        <v>-6.5734890763292854E-4</v>
      </c>
      <c r="AT16" s="3">
        <v>-1.6534178525632354E-3</v>
      </c>
      <c r="AU16" s="27">
        <v>0.41595724236243614</v>
      </c>
      <c r="AV16" s="3">
        <v>1</v>
      </c>
      <c r="AY16" s="3" t="s">
        <v>37</v>
      </c>
      <c r="AZ16" s="22">
        <v>1.993304383304418E-2</v>
      </c>
      <c r="BA16" s="3">
        <v>5.558695453568489E-3</v>
      </c>
      <c r="BB16" s="23">
        <v>1.0933749590971069E-3</v>
      </c>
      <c r="BC16" s="23">
        <v>8.4257299341314882E-4</v>
      </c>
      <c r="BD16" s="23">
        <v>2.161320366729837E-3</v>
      </c>
      <c r="BE16" s="27">
        <v>0.41595724236243614</v>
      </c>
      <c r="BF16" s="28">
        <v>1</v>
      </c>
      <c r="BG16" s="27"/>
    </row>
    <row r="17" spans="2:59" ht="14.25" customHeight="1">
      <c r="B17" s="13" t="s">
        <v>38</v>
      </c>
      <c r="C17" s="14">
        <v>55179.24</v>
      </c>
      <c r="D17" s="3">
        <v>109.63</v>
      </c>
      <c r="E17" s="3">
        <v>176.44</v>
      </c>
      <c r="F17" s="3">
        <v>65.760000000000005</v>
      </c>
      <c r="G17" s="3">
        <v>258.89</v>
      </c>
      <c r="H17" s="14">
        <v>3427.94</v>
      </c>
      <c r="I17" s="14">
        <v>1166.95</v>
      </c>
      <c r="J17" s="3">
        <v>183.5</v>
      </c>
      <c r="K17" s="14">
        <v>13856.01</v>
      </c>
      <c r="L17" s="14"/>
      <c r="M17" s="14">
        <f t="shared" ref="M17:U17" si="12">C17/C18-1</f>
        <v>-2.7301166020718637E-2</v>
      </c>
      <c r="N17" s="14">
        <f t="shared" si="12"/>
        <v>0.26886574074074066</v>
      </c>
      <c r="O17" s="14">
        <f t="shared" si="12"/>
        <v>8.2285714285714739E-3</v>
      </c>
      <c r="P17" s="14">
        <f t="shared" si="12"/>
        <v>0.10800336983993275</v>
      </c>
      <c r="Q17" s="14">
        <f t="shared" si="12"/>
        <v>-5.1823908584822886E-2</v>
      </c>
      <c r="R17" s="14">
        <f t="shared" si="12"/>
        <v>4.5097285992158564E-2</v>
      </c>
      <c r="S17" s="14">
        <f t="shared" si="12"/>
        <v>-4.3483606557377041E-2</v>
      </c>
      <c r="T17" s="14">
        <f t="shared" si="12"/>
        <v>-6.4970221981590637E-3</v>
      </c>
      <c r="U17" s="14">
        <f t="shared" si="12"/>
        <v>3.8759277307144568E-2</v>
      </c>
      <c r="W17" s="45" t="s">
        <v>39</v>
      </c>
      <c r="X17" s="46"/>
      <c r="Z17" s="4">
        <v>4.3</v>
      </c>
      <c r="AA17" s="47" t="s">
        <v>40</v>
      </c>
      <c r="AB17" s="42"/>
      <c r="AP17" s="19">
        <v>3.846433810085003E-4</v>
      </c>
      <c r="AQ17" s="3">
        <v>2.1723081551420211</v>
      </c>
      <c r="AR17" s="3">
        <v>6.1060243775733387E-3</v>
      </c>
      <c r="AS17" s="3">
        <v>-1.9512742853146706E-2</v>
      </c>
      <c r="AT17" s="3">
        <v>-9.8647837349661693E-4</v>
      </c>
      <c r="AU17" s="27">
        <v>0.28003280150981702</v>
      </c>
      <c r="AV17" s="3">
        <v>1</v>
      </c>
      <c r="AZ17" s="25">
        <v>5.558695453568489E-3</v>
      </c>
      <c r="BA17" s="3">
        <v>1.0979695194454851E-2</v>
      </c>
      <c r="BB17" s="3">
        <v>8.7080891938276039E-4</v>
      </c>
      <c r="BC17" s="3">
        <v>1.2593226321179834E-3</v>
      </c>
      <c r="BD17" s="3">
        <v>1.6636769140421846E-3</v>
      </c>
      <c r="BE17" s="27">
        <v>0.28003280150981702</v>
      </c>
      <c r="BF17" s="28">
        <v>1</v>
      </c>
      <c r="BG17" s="27"/>
    </row>
    <row r="18" spans="2:59" ht="14.25" customHeight="1">
      <c r="B18" s="13" t="s">
        <v>41</v>
      </c>
      <c r="C18" s="14">
        <v>56727.98</v>
      </c>
      <c r="D18" s="3">
        <v>86.4</v>
      </c>
      <c r="E18" s="3">
        <v>175</v>
      </c>
      <c r="F18" s="3">
        <v>59.35</v>
      </c>
      <c r="G18" s="3">
        <v>273.04000000000002</v>
      </c>
      <c r="H18" s="14">
        <v>3280.02</v>
      </c>
      <c r="I18" s="14">
        <v>1220</v>
      </c>
      <c r="J18" s="3">
        <v>184.7</v>
      </c>
      <c r="K18" s="14">
        <v>13339</v>
      </c>
      <c r="L18" s="14"/>
      <c r="M18" s="14">
        <f t="shared" ref="M18:U18" si="13">C18/C19-1</f>
        <v>-1.1173802720318871E-2</v>
      </c>
      <c r="N18" s="14">
        <f t="shared" si="13"/>
        <v>-4.3824701195219085E-2</v>
      </c>
      <c r="O18" s="14">
        <f t="shared" si="13"/>
        <v>-2.9825923051336023E-2</v>
      </c>
      <c r="P18" s="14">
        <f t="shared" si="13"/>
        <v>-1.3628053847432264E-2</v>
      </c>
      <c r="Q18" s="14">
        <f t="shared" si="13"/>
        <v>-3.160134775669432E-2</v>
      </c>
      <c r="R18" s="14">
        <f t="shared" si="13"/>
        <v>-6.0545454545454236E-3</v>
      </c>
      <c r="S18" s="14">
        <f t="shared" si="13"/>
        <v>3.2891673369173979E-2</v>
      </c>
      <c r="T18" s="14">
        <f t="shared" si="13"/>
        <v>-4.9408131755018125E-2</v>
      </c>
      <c r="U18" s="14">
        <f t="shared" si="13"/>
        <v>3.2518248457686028E-2</v>
      </c>
      <c r="AP18" s="3">
        <v>5.9809366331141419E-3</v>
      </c>
      <c r="AQ18" s="3">
        <v>6.1060243775733387E-3</v>
      </c>
      <c r="AR18" s="3">
        <v>9.4944425630735893E-2</v>
      </c>
      <c r="AS18" s="3">
        <v>-1.0435090405180161E-2</v>
      </c>
      <c r="AT18" s="3">
        <v>-8.7273540653676478E-4</v>
      </c>
      <c r="AU18" s="27">
        <v>8.7802023590367012E-2</v>
      </c>
      <c r="AV18" s="3">
        <v>1</v>
      </c>
      <c r="AZ18" s="3">
        <v>1.0933749590971069E-3</v>
      </c>
      <c r="BA18" s="3">
        <v>8.7080891938276039E-4</v>
      </c>
      <c r="BB18" s="3">
        <v>2.4797868330011601E-3</v>
      </c>
      <c r="BC18" s="3">
        <v>6.044437318269161E-4</v>
      </c>
      <c r="BD18" s="3">
        <v>6.6370273184201771E-4</v>
      </c>
      <c r="BE18" s="27">
        <v>8.7802023590367012E-2</v>
      </c>
      <c r="BF18" s="28">
        <v>1</v>
      </c>
      <c r="BG18" s="27"/>
    </row>
    <row r="19" spans="2:59" ht="14.25" customHeight="1">
      <c r="B19" s="13" t="s">
        <v>42</v>
      </c>
      <c r="C19" s="14">
        <v>57369.01</v>
      </c>
      <c r="D19" s="3">
        <v>90.36</v>
      </c>
      <c r="E19" s="3">
        <v>180.38</v>
      </c>
      <c r="F19" s="3">
        <v>60.17</v>
      </c>
      <c r="G19" s="3">
        <v>281.95</v>
      </c>
      <c r="H19" s="14">
        <v>3300</v>
      </c>
      <c r="I19" s="14">
        <v>1181.1500000000001</v>
      </c>
      <c r="J19" s="3">
        <v>194.3</v>
      </c>
      <c r="K19" s="14">
        <v>12918.9</v>
      </c>
      <c r="L19" s="14"/>
      <c r="M19" s="14">
        <f t="shared" ref="M19:U19" si="14">C19/C20-1</f>
        <v>3.5280073627603104E-2</v>
      </c>
      <c r="N19" s="14">
        <f t="shared" si="14"/>
        <v>0.14220705346985207</v>
      </c>
      <c r="O19" s="14">
        <f t="shared" si="14"/>
        <v>2.0479746548992983E-2</v>
      </c>
      <c r="P19" s="14">
        <f t="shared" si="14"/>
        <v>2.6616618324518004E-2</v>
      </c>
      <c r="Q19" s="14">
        <f t="shared" si="14"/>
        <v>-3.5342821951553249E-2</v>
      </c>
      <c r="R19" s="14">
        <f t="shared" si="14"/>
        <v>4.728657569025696E-2</v>
      </c>
      <c r="S19" s="14">
        <f t="shared" si="14"/>
        <v>-1.8978405315614566E-2</v>
      </c>
      <c r="T19" s="14">
        <f t="shared" si="14"/>
        <v>0.15243179122182693</v>
      </c>
      <c r="U19" s="14">
        <f t="shared" si="14"/>
        <v>8.8508429151088475E-3</v>
      </c>
      <c r="AE19" s="6" t="s">
        <v>7</v>
      </c>
      <c r="AF19" s="6" t="s">
        <v>8</v>
      </c>
      <c r="AG19" s="6" t="s">
        <v>9</v>
      </c>
      <c r="AH19" s="6" t="s">
        <v>10</v>
      </c>
      <c r="AI19" s="6" t="s">
        <v>11</v>
      </c>
      <c r="AJ19" s="6" t="s">
        <v>12</v>
      </c>
      <c r="AK19" s="6" t="s">
        <v>13</v>
      </c>
      <c r="AL19" s="6" t="s">
        <v>14</v>
      </c>
      <c r="AP19" s="3">
        <v>-6.5734890763292854E-4</v>
      </c>
      <c r="AQ19" s="3">
        <v>-1.9512742853146706E-2</v>
      </c>
      <c r="AR19" s="3">
        <v>-1.0435090405180161E-2</v>
      </c>
      <c r="AS19" s="3">
        <v>0.24125485220272955</v>
      </c>
      <c r="AT19" s="3">
        <v>-4.0638199967459683E-4</v>
      </c>
      <c r="AU19" s="27">
        <v>0.12848795170039531</v>
      </c>
      <c r="AV19" s="3">
        <v>1</v>
      </c>
      <c r="AZ19" s="3">
        <v>8.4257299341314882E-4</v>
      </c>
      <c r="BA19" s="3">
        <v>1.2593226321179834E-3</v>
      </c>
      <c r="BB19" s="3">
        <v>6.044437318269161E-4</v>
      </c>
      <c r="BC19" s="3">
        <v>2.1448738671897773E-3</v>
      </c>
      <c r="BD19" s="3">
        <v>6.5811596645257294E-4</v>
      </c>
      <c r="BE19" s="27">
        <v>0.12848795170039531</v>
      </c>
      <c r="BF19" s="28">
        <v>1</v>
      </c>
      <c r="BG19" s="27"/>
    </row>
    <row r="20" spans="2:59" ht="14.25" customHeight="1">
      <c r="B20" s="13" t="s">
        <v>43</v>
      </c>
      <c r="C20" s="14">
        <v>55414</v>
      </c>
      <c r="D20" s="3">
        <v>79.11</v>
      </c>
      <c r="E20" s="3">
        <v>176.76</v>
      </c>
      <c r="F20" s="3">
        <v>58.61</v>
      </c>
      <c r="G20" s="3">
        <v>292.27999999999997</v>
      </c>
      <c r="H20" s="14">
        <v>3151</v>
      </c>
      <c r="I20" s="14">
        <v>1204</v>
      </c>
      <c r="J20" s="3">
        <v>168.6</v>
      </c>
      <c r="K20" s="14">
        <v>12805.56</v>
      </c>
      <c r="L20" s="14"/>
      <c r="M20" s="14">
        <f t="shared" ref="M20:U20" si="15">C20/C21-1</f>
        <v>-3.4140940753068172E-2</v>
      </c>
      <c r="N20" s="14">
        <f t="shared" si="15"/>
        <v>0.28571428571428559</v>
      </c>
      <c r="O20" s="14">
        <f t="shared" si="15"/>
        <v>0.13891752577319583</v>
      </c>
      <c r="P20" s="14">
        <f t="shared" si="15"/>
        <v>6.4088598402323838E-2</v>
      </c>
      <c r="Q20" s="14">
        <f t="shared" si="15"/>
        <v>-1.5031429352283521E-3</v>
      </c>
      <c r="R20" s="14">
        <f t="shared" si="15"/>
        <v>4.6843853820597969E-2</v>
      </c>
      <c r="S20" s="14">
        <f t="shared" si="15"/>
        <v>7.6056841540798947E-2</v>
      </c>
      <c r="T20" s="14">
        <f t="shared" si="15"/>
        <v>4.7204968944099424E-2</v>
      </c>
      <c r="U20" s="14">
        <f t="shared" si="15"/>
        <v>0.15837731145192024</v>
      </c>
      <c r="AC20" s="41" t="s">
        <v>36</v>
      </c>
      <c r="AD20" s="42"/>
      <c r="AE20" s="29">
        <f>Z17+AB7*(Z15-Z17)</f>
        <v>0.44042120805114804</v>
      </c>
      <c r="AF20" s="29">
        <f>Z17+AB8*(Z15-Z17)</f>
        <v>1.8800228165034061</v>
      </c>
      <c r="AG20" s="29">
        <f>Z17+AB9*(Z15-Z17)</f>
        <v>3.7279910335559929</v>
      </c>
      <c r="AH20" s="29">
        <f>Z17+AB10*(Z15-Z17)</f>
        <v>2.5266219500062288</v>
      </c>
      <c r="AI20" s="29">
        <f>Z17+AB11*(Z15-Z17)</f>
        <v>2.3505987975419487</v>
      </c>
      <c r="AJ20" s="29">
        <f>Z17+AB12*(Z15-Z17)</f>
        <v>5.0486040875222278</v>
      </c>
      <c r="AK20" s="29">
        <f>Z17+AB13*(Z15-Z17)</f>
        <v>-2.9946530093196699E-3</v>
      </c>
      <c r="AL20" s="29">
        <f>Z17+AB14*(Z15-Z17)</f>
        <v>4.8960352786838914</v>
      </c>
      <c r="AP20" s="3">
        <v>-1.6534178525632354E-3</v>
      </c>
      <c r="AQ20" s="3">
        <v>-9.8647837349661693E-4</v>
      </c>
      <c r="AR20" s="3">
        <v>-8.7273540653676478E-4</v>
      </c>
      <c r="AS20" s="3">
        <v>-4.0638199967459683E-4</v>
      </c>
      <c r="AT20" s="3">
        <v>6.1172282111183855E-3</v>
      </c>
      <c r="AU20" s="30">
        <v>0.14082867329358895</v>
      </c>
      <c r="AV20" s="3">
        <v>1</v>
      </c>
      <c r="AZ20" s="3">
        <v>2.161320366729837E-3</v>
      </c>
      <c r="BA20" s="3">
        <v>1.6636769140421846E-3</v>
      </c>
      <c r="BB20" s="3">
        <v>6.6370273184201771E-4</v>
      </c>
      <c r="BC20" s="3">
        <v>6.5811596645257294E-4</v>
      </c>
      <c r="BD20" s="3">
        <v>6.3856877769820405E-3</v>
      </c>
      <c r="BE20" s="30">
        <v>0.1616923026732866</v>
      </c>
      <c r="BF20" s="28">
        <v>1</v>
      </c>
      <c r="BG20" s="30"/>
    </row>
    <row r="21" spans="2:59" ht="14.25" customHeight="1">
      <c r="B21" s="13" t="s">
        <v>44</v>
      </c>
      <c r="C21" s="14">
        <v>57372.76</v>
      </c>
      <c r="D21" s="3">
        <v>61.53</v>
      </c>
      <c r="E21" s="3">
        <v>155.19999999999999</v>
      </c>
      <c r="F21" s="3">
        <v>55.08</v>
      </c>
      <c r="G21" s="3">
        <v>292.72000000000003</v>
      </c>
      <c r="H21" s="14">
        <v>3010</v>
      </c>
      <c r="I21" s="14">
        <v>1118.9000000000001</v>
      </c>
      <c r="J21" s="3">
        <v>161</v>
      </c>
      <c r="K21" s="14">
        <v>11054.74</v>
      </c>
      <c r="L21" s="14"/>
      <c r="M21" s="14">
        <f t="shared" ref="M21:U21" si="16">C21/C22-1</f>
        <v>-2.3507373281927979E-4</v>
      </c>
      <c r="N21" s="14">
        <f t="shared" si="16"/>
        <v>0.2425282714054926</v>
      </c>
      <c r="O21" s="14">
        <f t="shared" si="16"/>
        <v>2.1455837830722579E-2</v>
      </c>
      <c r="P21" s="14">
        <f t="shared" si="16"/>
        <v>4.8144624167459682E-2</v>
      </c>
      <c r="Q21" s="14">
        <f t="shared" si="16"/>
        <v>-1.2782030960169832E-2</v>
      </c>
      <c r="R21" s="14">
        <f t="shared" si="16"/>
        <v>4.4598454271921995E-2</v>
      </c>
      <c r="S21" s="14">
        <f t="shared" si="16"/>
        <v>7.5090079269757526E-2</v>
      </c>
      <c r="T21" s="14">
        <f t="shared" si="16"/>
        <v>5.2287581699346442E-2</v>
      </c>
      <c r="U21" s="14">
        <f t="shared" si="16"/>
        <v>0.11844573361850741</v>
      </c>
      <c r="AP21" s="31">
        <v>0.41595724236243597</v>
      </c>
      <c r="AQ21" s="27">
        <v>0.28003280150981702</v>
      </c>
      <c r="AR21" s="27">
        <v>8.7802023590367012E-2</v>
      </c>
      <c r="AS21" s="27">
        <v>0.12848795170039531</v>
      </c>
      <c r="AT21" s="30">
        <v>0.14082867329358895</v>
      </c>
      <c r="AU21" s="3">
        <v>0</v>
      </c>
      <c r="AV21" s="3">
        <v>0</v>
      </c>
      <c r="AZ21" s="27">
        <v>0.41595724236243614</v>
      </c>
      <c r="BA21" s="27">
        <v>0.28003280150981702</v>
      </c>
      <c r="BB21" s="27">
        <v>8.7802023590367012E-2</v>
      </c>
      <c r="BC21" s="27">
        <v>0.12848795170039531</v>
      </c>
      <c r="BD21" s="30">
        <v>0.1616923026732866</v>
      </c>
      <c r="BE21" s="4">
        <v>0</v>
      </c>
      <c r="BF21" s="4">
        <v>0</v>
      </c>
      <c r="BG21" s="4"/>
    </row>
    <row r="22" spans="2:59" ht="14.25" customHeight="1">
      <c r="B22" s="13" t="s">
        <v>45</v>
      </c>
      <c r="C22" s="14">
        <v>57386.25</v>
      </c>
      <c r="D22" s="3">
        <v>49.52</v>
      </c>
      <c r="E22" s="3">
        <v>151.94</v>
      </c>
      <c r="F22" s="3">
        <v>52.55</v>
      </c>
      <c r="G22" s="3">
        <v>296.51</v>
      </c>
      <c r="H22" s="14">
        <v>2881.49</v>
      </c>
      <c r="I22" s="14">
        <v>1040.75</v>
      </c>
      <c r="J22" s="3">
        <v>153</v>
      </c>
      <c r="K22" s="14">
        <v>9884.02</v>
      </c>
      <c r="L22" s="14"/>
      <c r="M22" s="14">
        <f t="shared" ref="M22:U22" si="17">C22/C23-1</f>
        <v>6.1528660464546636E-2</v>
      </c>
      <c r="N22" s="14">
        <f t="shared" si="17"/>
        <v>5.8798375026726468E-2</v>
      </c>
      <c r="O22" s="14">
        <f t="shared" si="17"/>
        <v>4.0043808611130105E-2</v>
      </c>
      <c r="P22" s="14">
        <f t="shared" si="17"/>
        <v>1.2524084778420042E-2</v>
      </c>
      <c r="Q22" s="14">
        <f t="shared" si="17"/>
        <v>5.2050808969628326E-2</v>
      </c>
      <c r="R22" s="14">
        <f t="shared" si="17"/>
        <v>6.4852180339985077E-2</v>
      </c>
      <c r="S22" s="14">
        <f t="shared" si="17"/>
        <v>1.9693332680154718E-2</v>
      </c>
      <c r="T22" s="14">
        <f t="shared" si="17"/>
        <v>-4.9217002237136431E-2</v>
      </c>
      <c r="U22" s="14">
        <f t="shared" si="17"/>
        <v>-3.8425916917988134E-2</v>
      </c>
      <c r="AP22" s="3">
        <v>1</v>
      </c>
      <c r="AQ22" s="3">
        <v>1</v>
      </c>
      <c r="AR22" s="3">
        <v>1</v>
      </c>
      <c r="AS22" s="3">
        <v>1</v>
      </c>
      <c r="AT22" s="3">
        <v>1</v>
      </c>
      <c r="AU22" s="3">
        <v>0</v>
      </c>
      <c r="AV22" s="3">
        <v>0</v>
      </c>
      <c r="AZ22" s="4">
        <v>1</v>
      </c>
      <c r="BA22" s="4">
        <v>1</v>
      </c>
      <c r="BB22" s="4">
        <v>1</v>
      </c>
      <c r="BC22" s="4">
        <v>1</v>
      </c>
      <c r="BD22" s="4">
        <v>1</v>
      </c>
      <c r="BE22" s="4">
        <v>0</v>
      </c>
      <c r="BF22" s="4">
        <v>0</v>
      </c>
      <c r="BG22" s="4"/>
    </row>
    <row r="23" spans="2:59" ht="14.25" customHeight="1">
      <c r="B23" s="13" t="s">
        <v>46</v>
      </c>
      <c r="C23" s="14">
        <v>54060.01</v>
      </c>
      <c r="D23" s="3">
        <v>46.77</v>
      </c>
      <c r="E23" s="3">
        <v>146.09</v>
      </c>
      <c r="F23" s="3">
        <v>51.9</v>
      </c>
      <c r="G23" s="3">
        <v>281.83999999999997</v>
      </c>
      <c r="H23" s="14">
        <v>2706</v>
      </c>
      <c r="I23" s="14">
        <v>1020.65</v>
      </c>
      <c r="J23" s="3">
        <v>160.91999999999999</v>
      </c>
      <c r="K23" s="14">
        <v>10279</v>
      </c>
      <c r="L23" s="14"/>
      <c r="M23" s="14">
        <f t="shared" ref="M23:U23" si="18">C23/C24-1</f>
        <v>0.10187400075170383</v>
      </c>
      <c r="N23" s="14">
        <f t="shared" si="18"/>
        <v>0.14688572829818547</v>
      </c>
      <c r="O23" s="14">
        <f t="shared" si="18"/>
        <v>9.7678262829664186E-2</v>
      </c>
      <c r="P23" s="14">
        <f t="shared" si="18"/>
        <v>-4.7181935010097265E-2</v>
      </c>
      <c r="Q23" s="14">
        <f t="shared" si="18"/>
        <v>7.5027653812411721E-2</v>
      </c>
      <c r="R23" s="14">
        <f t="shared" si="18"/>
        <v>8.0670926517571795E-2</v>
      </c>
      <c r="S23" s="14">
        <f t="shared" si="18"/>
        <v>-7.7103226273148251E-2</v>
      </c>
      <c r="T23" s="14">
        <f t="shared" si="18"/>
        <v>0.14852615801869939</v>
      </c>
      <c r="U23" s="14">
        <f t="shared" si="18"/>
        <v>3.6816622957434042E-2</v>
      </c>
    </row>
    <row r="24" spans="2:59" ht="14.25" customHeight="1">
      <c r="B24" s="13" t="s">
        <v>47</v>
      </c>
      <c r="C24" s="14">
        <v>49061.88</v>
      </c>
      <c r="D24" s="3">
        <v>40.78</v>
      </c>
      <c r="E24" s="3">
        <v>133.09</v>
      </c>
      <c r="F24" s="3">
        <v>54.47</v>
      </c>
      <c r="G24" s="3">
        <v>262.17</v>
      </c>
      <c r="H24" s="14">
        <v>2504</v>
      </c>
      <c r="I24" s="14">
        <v>1105.92</v>
      </c>
      <c r="J24" s="3">
        <v>140.11000000000001</v>
      </c>
      <c r="K24" s="14">
        <v>9914</v>
      </c>
      <c r="L24" s="14"/>
      <c r="M24" s="14">
        <f t="shared" ref="M24:U24" si="19">C24/C25-1</f>
        <v>-3.5638343248488913E-2</v>
      </c>
      <c r="N24" s="14">
        <f t="shared" si="19"/>
        <v>-6.2528735632183863E-2</v>
      </c>
      <c r="O24" s="14">
        <f t="shared" si="19"/>
        <v>4.6963499056010161E-2</v>
      </c>
      <c r="P24" s="14">
        <f t="shared" si="19"/>
        <v>2.1759519789908088E-2</v>
      </c>
      <c r="Q24" s="14">
        <f t="shared" si="19"/>
        <v>-4.8208320680229733E-3</v>
      </c>
      <c r="R24" s="14">
        <f t="shared" si="19"/>
        <v>-2.3016086680010428E-2</v>
      </c>
      <c r="S24" s="14">
        <f t="shared" si="19"/>
        <v>4.3320754716981158E-2</v>
      </c>
      <c r="T24" s="14">
        <f t="shared" si="19"/>
        <v>-1.2830565257678783E-3</v>
      </c>
      <c r="U24" s="14">
        <f t="shared" si="19"/>
        <v>3.8116270278817144E-2</v>
      </c>
      <c r="AO24" s="44" t="s">
        <v>48</v>
      </c>
      <c r="AP24" s="42"/>
      <c r="AQ24" s="42"/>
      <c r="AY24" s="44" t="s">
        <v>48</v>
      </c>
      <c r="AZ24" s="42"/>
      <c r="BA24" s="42"/>
    </row>
    <row r="25" spans="2:59" ht="14.25" customHeight="1">
      <c r="B25" s="13" t="s">
        <v>49</v>
      </c>
      <c r="C25" s="14">
        <v>50874.98</v>
      </c>
      <c r="D25" s="3">
        <v>43.5</v>
      </c>
      <c r="E25" s="3">
        <v>127.12</v>
      </c>
      <c r="F25" s="3">
        <v>53.31</v>
      </c>
      <c r="G25" s="3">
        <v>263.44</v>
      </c>
      <c r="H25" s="14">
        <v>2562.9899999999998</v>
      </c>
      <c r="I25" s="14">
        <v>1060</v>
      </c>
      <c r="J25" s="3">
        <v>140.29</v>
      </c>
      <c r="K25" s="14">
        <v>9549.99</v>
      </c>
      <c r="L25" s="14"/>
      <c r="M25" s="14">
        <f t="shared" ref="M25:U25" si="20">C25/C26-1</f>
        <v>-4.0474544227586895E-2</v>
      </c>
      <c r="N25" s="14">
        <f t="shared" si="20"/>
        <v>-0.1185410334346505</v>
      </c>
      <c r="O25" s="14">
        <f t="shared" si="20"/>
        <v>-7.8907325556119012E-2</v>
      </c>
      <c r="P25" s="14">
        <f t="shared" si="20"/>
        <v>-1.6420664206642122E-2</v>
      </c>
      <c r="Q25" s="14">
        <f t="shared" si="20"/>
        <v>-6.2991285790503171E-2</v>
      </c>
      <c r="R25" s="14">
        <f t="shared" si="20"/>
        <v>3.3463709677419295E-2</v>
      </c>
      <c r="S25" s="14">
        <f t="shared" si="20"/>
        <v>9.2835039276362163E-3</v>
      </c>
      <c r="T25" s="14">
        <f t="shared" si="20"/>
        <v>4.4757223711647143E-2</v>
      </c>
      <c r="U25" s="14">
        <f t="shared" si="20"/>
        <v>2.0651379323612051E-2</v>
      </c>
    </row>
    <row r="26" spans="2:59" ht="14.25" customHeight="1">
      <c r="B26" s="13" t="s">
        <v>50</v>
      </c>
      <c r="C26" s="14">
        <v>53020.98</v>
      </c>
      <c r="D26" s="3">
        <v>49.35</v>
      </c>
      <c r="E26" s="3">
        <v>138.01</v>
      </c>
      <c r="F26" s="3">
        <v>54.2</v>
      </c>
      <c r="G26" s="3">
        <v>281.14999999999998</v>
      </c>
      <c r="H26" s="14">
        <v>2480</v>
      </c>
      <c r="I26" s="14">
        <v>1050.25</v>
      </c>
      <c r="J26" s="3">
        <v>134.28</v>
      </c>
      <c r="K26" s="14">
        <v>9356.76</v>
      </c>
      <c r="L26" s="14"/>
      <c r="M26" s="14">
        <f t="shared" ref="M26:U26" si="21">C26/C27-1</f>
        <v>-3.2800094127862445E-2</v>
      </c>
      <c r="N26" s="14">
        <f t="shared" si="21"/>
        <v>5.6066766531136514E-2</v>
      </c>
      <c r="O26" s="14">
        <f t="shared" si="21"/>
        <v>3.2390783961699476E-2</v>
      </c>
      <c r="P26" s="14">
        <f t="shared" si="21"/>
        <v>1.7076374554325424E-2</v>
      </c>
      <c r="Q26" s="14">
        <f t="shared" si="21"/>
        <v>-4.1098226466575793E-2</v>
      </c>
      <c r="R26" s="14">
        <f t="shared" si="21"/>
        <v>-5.7213457517582222E-2</v>
      </c>
      <c r="S26" s="14">
        <f t="shared" si="21"/>
        <v>9.8208777304905182E-2</v>
      </c>
      <c r="T26" s="14">
        <f t="shared" si="21"/>
        <v>1.6410562434729936E-3</v>
      </c>
      <c r="U26" s="14">
        <f t="shared" si="21"/>
        <v>0.22544142954808</v>
      </c>
      <c r="AO26" s="3" t="s">
        <v>51</v>
      </c>
      <c r="AP26" s="3">
        <f t="array" ref="AP26:AV32">MINVERSE(AP16:AV22)</f>
        <v>0.47275996190448777</v>
      </c>
      <c r="AQ26" s="3">
        <v>-0.23770151786040455</v>
      </c>
      <c r="AR26" s="3">
        <v>1.7890143121698934</v>
      </c>
      <c r="AS26" s="3">
        <v>0.17140845459764087</v>
      </c>
      <c r="AT26" s="3">
        <v>-2.1954812108116162</v>
      </c>
      <c r="AU26" s="3">
        <v>3.5259425277189282</v>
      </c>
      <c r="AV26" s="3">
        <v>-0.48094537289049732</v>
      </c>
      <c r="AY26" s="3" t="s">
        <v>51</v>
      </c>
      <c r="AZ26" s="3">
        <f t="array" ref="AZ26:BF32">MINVERSE(AZ16:BF22)</f>
        <v>31.582482642442404</v>
      </c>
      <c r="BA26" s="3">
        <v>-47.623997583936827</v>
      </c>
      <c r="BB26" s="3">
        <v>32.292159123307535</v>
      </c>
      <c r="BC26" s="3">
        <v>0.25279108262154182</v>
      </c>
      <c r="BD26" s="3">
        <v>-16.503435264434671</v>
      </c>
      <c r="BE26" s="3">
        <v>2.1260617337266536</v>
      </c>
      <c r="BF26" s="3">
        <v>-0.2490097102125802</v>
      </c>
    </row>
    <row r="27" spans="2:59" ht="14.25" customHeight="1">
      <c r="B27" s="13" t="s">
        <v>52</v>
      </c>
      <c r="C27" s="14">
        <v>54819.05</v>
      </c>
      <c r="D27" s="3">
        <v>46.73</v>
      </c>
      <c r="E27" s="3">
        <v>133.68</v>
      </c>
      <c r="F27" s="3">
        <v>53.29</v>
      </c>
      <c r="G27" s="3">
        <v>293.2</v>
      </c>
      <c r="H27" s="14">
        <v>2630.5</v>
      </c>
      <c r="I27" s="3">
        <v>956.33</v>
      </c>
      <c r="J27" s="3">
        <v>134.06</v>
      </c>
      <c r="K27" s="14">
        <v>7635.42</v>
      </c>
      <c r="L27" s="14"/>
      <c r="M27" s="14">
        <f t="shared" ref="M27:U27" si="22">C27/C28-1</f>
        <v>2.415550544500733E-2</v>
      </c>
      <c r="N27" s="14">
        <f t="shared" si="22"/>
        <v>0.10472813238770695</v>
      </c>
      <c r="O27" s="14">
        <f t="shared" si="22"/>
        <v>2.5467934949370941E-2</v>
      </c>
      <c r="P27" s="14">
        <f t="shared" si="22"/>
        <v>1.7178850925749112E-2</v>
      </c>
      <c r="Q27" s="14">
        <f t="shared" si="22"/>
        <v>-1.7459200428940225E-2</v>
      </c>
      <c r="R27" s="14">
        <f t="shared" si="22"/>
        <v>5.4854012695942922E-2</v>
      </c>
      <c r="S27" s="14">
        <f t="shared" si="22"/>
        <v>1.7372340425531929E-2</v>
      </c>
      <c r="T27" s="14">
        <f t="shared" si="22"/>
        <v>2.3358778625954146E-2</v>
      </c>
      <c r="U27" s="14">
        <f t="shared" si="22"/>
        <v>-4.521445542078284E-2</v>
      </c>
      <c r="AP27" s="3">
        <v>-0.2377015178604045</v>
      </c>
      <c r="AQ27" s="3">
        <v>0.4603695324727195</v>
      </c>
      <c r="AR27" s="3">
        <v>-3.146292708304417E-2</v>
      </c>
      <c r="AS27" s="3">
        <v>2.8785558537989319E-2</v>
      </c>
      <c r="AT27" s="3">
        <v>-0.21999064606726035</v>
      </c>
      <c r="AU27" s="3">
        <v>-5.9435998120717275E-3</v>
      </c>
      <c r="AV27" s="3">
        <v>2.2281260391979673E-3</v>
      </c>
      <c r="AZ27" s="3">
        <v>-47.623997583936841</v>
      </c>
      <c r="BA27" s="3">
        <v>99.12784449325919</v>
      </c>
      <c r="BB27" s="3">
        <v>17.837815810616867</v>
      </c>
      <c r="BC27" s="3">
        <v>-51.087145096577665</v>
      </c>
      <c r="BD27" s="3">
        <v>-18.254517623361494</v>
      </c>
      <c r="BE27" s="3">
        <v>1.5137789084168793</v>
      </c>
      <c r="BF27" s="3">
        <v>-0.16840247909198433</v>
      </c>
    </row>
    <row r="28" spans="2:59" ht="14.25" customHeight="1">
      <c r="B28" s="13" t="s">
        <v>53</v>
      </c>
      <c r="C28" s="14">
        <v>53526.1</v>
      </c>
      <c r="D28" s="3">
        <v>42.3</v>
      </c>
      <c r="E28" s="3">
        <v>130.36000000000001</v>
      </c>
      <c r="F28" s="3">
        <v>52.39</v>
      </c>
      <c r="G28" s="3">
        <v>298.41000000000003</v>
      </c>
      <c r="H28" s="14">
        <v>2493.71</v>
      </c>
      <c r="I28" s="3">
        <v>940</v>
      </c>
      <c r="J28" s="3">
        <v>131</v>
      </c>
      <c r="K28" s="14">
        <v>7997</v>
      </c>
      <c r="L28" s="14"/>
      <c r="M28" s="14">
        <f t="shared" ref="M28:U28" si="23">C28/C29-1</f>
        <v>1.4977171304904724E-2</v>
      </c>
      <c r="N28" s="14">
        <f t="shared" si="23"/>
        <v>0.1181601903251388</v>
      </c>
      <c r="O28" s="14">
        <f t="shared" si="23"/>
        <v>8.1107978105821932E-2</v>
      </c>
      <c r="P28" s="14">
        <f t="shared" si="23"/>
        <v>7.0057189542483744E-2</v>
      </c>
      <c r="Q28" s="14">
        <f t="shared" si="23"/>
        <v>4.6648661919960865E-2</v>
      </c>
      <c r="R28" s="14">
        <f t="shared" si="23"/>
        <v>4.3301634584408832E-2</v>
      </c>
      <c r="S28" s="14">
        <f t="shared" si="23"/>
        <v>-0.1206735266604303</v>
      </c>
      <c r="T28" s="14">
        <f t="shared" si="23"/>
        <v>0.11045180978214808</v>
      </c>
      <c r="U28" s="14">
        <f t="shared" si="23"/>
        <v>6.484687083888141E-2</v>
      </c>
      <c r="AP28" s="3">
        <v>1.7890143121698929</v>
      </c>
      <c r="AQ28" s="3">
        <v>-3.1462927083044136E-2</v>
      </c>
      <c r="AR28" s="3">
        <v>9.1928617403735569</v>
      </c>
      <c r="AS28" s="3">
        <v>2.9375846103224464E-2</v>
      </c>
      <c r="AT28" s="3">
        <v>-10.979788971563631</v>
      </c>
      <c r="AU28" s="3">
        <v>-0.55212886736980771</v>
      </c>
      <c r="AV28" s="3">
        <v>0.15588327517615863</v>
      </c>
      <c r="AZ28" s="3">
        <v>32.292159123307542</v>
      </c>
      <c r="BA28" s="3">
        <v>17.837815810616952</v>
      </c>
      <c r="BB28" s="3">
        <v>250.51907206285898</v>
      </c>
      <c r="BC28" s="3">
        <v>-246.63105880014888</v>
      </c>
      <c r="BD28" s="3">
        <v>-54.017988196634718</v>
      </c>
      <c r="BE28" s="3">
        <v>-3.6721776553390022</v>
      </c>
      <c r="BF28" s="3">
        <v>0.83527644943445278</v>
      </c>
    </row>
    <row r="29" spans="2:59" ht="14.25" customHeight="1">
      <c r="B29" s="13" t="s">
        <v>54</v>
      </c>
      <c r="C29" s="14">
        <v>52736.26</v>
      </c>
      <c r="D29" s="3">
        <v>37.83</v>
      </c>
      <c r="E29" s="3">
        <v>120.58</v>
      </c>
      <c r="F29" s="3">
        <v>48.96</v>
      </c>
      <c r="G29" s="3">
        <v>285.11</v>
      </c>
      <c r="H29" s="14">
        <v>2390.21</v>
      </c>
      <c r="I29" s="14">
        <v>1069</v>
      </c>
      <c r="J29" s="3">
        <v>117.97</v>
      </c>
      <c r="K29" s="14">
        <v>7510</v>
      </c>
      <c r="L29" s="14"/>
      <c r="M29" s="14">
        <f t="shared" ref="M29:U29" si="24">C29/C30-1</f>
        <v>-4.3267547416403374E-2</v>
      </c>
      <c r="N29" s="14">
        <f t="shared" si="24"/>
        <v>0.36324324324324309</v>
      </c>
      <c r="O29" s="14">
        <f t="shared" si="24"/>
        <v>0.14348032242769082</v>
      </c>
      <c r="P29" s="14">
        <f t="shared" si="24"/>
        <v>-2.7027027027026973E-2</v>
      </c>
      <c r="Q29" s="14">
        <f t="shared" si="24"/>
        <v>-3.5976331360946689E-2</v>
      </c>
      <c r="R29" s="14">
        <f t="shared" si="24"/>
        <v>-3.6982272360999158E-2</v>
      </c>
      <c r="S29" s="14">
        <f t="shared" si="24"/>
        <v>8.3036148484357364E-2</v>
      </c>
      <c r="T29" s="14">
        <f t="shared" si="24"/>
        <v>-0.10397994835181523</v>
      </c>
      <c r="U29" s="14">
        <f t="shared" si="24"/>
        <v>4.0598586670361536E-2</v>
      </c>
      <c r="AP29" s="3">
        <v>0.1714084545976409</v>
      </c>
      <c r="AQ29" s="3">
        <v>2.8785558537989319E-2</v>
      </c>
      <c r="AR29" s="3">
        <v>2.937584610322479E-2</v>
      </c>
      <c r="AS29" s="3">
        <v>4.0199212295299631</v>
      </c>
      <c r="AT29" s="3">
        <v>-4.2494910887688189</v>
      </c>
      <c r="AU29" s="3">
        <v>-0.11849447440370109</v>
      </c>
      <c r="AV29" s="3">
        <v>4.4653593492667933E-2</v>
      </c>
      <c r="AZ29" s="3">
        <v>0.25279108262156624</v>
      </c>
      <c r="BA29" s="3">
        <v>-51.087145096577814</v>
      </c>
      <c r="BB29" s="3">
        <v>-246.63105880014862</v>
      </c>
      <c r="BC29" s="3">
        <v>368.69371275370662</v>
      </c>
      <c r="BD29" s="3">
        <v>-71.228299939601641</v>
      </c>
      <c r="BE29" s="3">
        <v>-0.26916528380718413</v>
      </c>
      <c r="BF29" s="3">
        <v>0.50385626861297494</v>
      </c>
    </row>
    <row r="30" spans="2:59" ht="14.25" customHeight="1">
      <c r="B30" s="13" t="s">
        <v>55</v>
      </c>
      <c r="C30" s="14">
        <v>55121.22</v>
      </c>
      <c r="D30" s="3">
        <v>27.75</v>
      </c>
      <c r="E30" s="3">
        <v>105.45</v>
      </c>
      <c r="F30" s="3">
        <v>50.32</v>
      </c>
      <c r="G30" s="3">
        <v>295.75</v>
      </c>
      <c r="H30" s="14">
        <v>2482</v>
      </c>
      <c r="I30" s="3">
        <v>987.04</v>
      </c>
      <c r="J30" s="3">
        <v>131.66</v>
      </c>
      <c r="K30" s="14">
        <v>7217</v>
      </c>
      <c r="L30" s="14"/>
      <c r="M30" s="14">
        <f t="shared" ref="M30:U30" si="25">C30/C31-1</f>
        <v>2.2581255565449654E-2</v>
      </c>
      <c r="N30" s="14">
        <f t="shared" si="25"/>
        <v>-1.0799136069115089E-3</v>
      </c>
      <c r="O30" s="14">
        <f t="shared" si="25"/>
        <v>2.091199535288979E-2</v>
      </c>
      <c r="P30" s="14">
        <f t="shared" si="25"/>
        <v>2.380467955239074E-2</v>
      </c>
      <c r="Q30" s="14">
        <f t="shared" si="25"/>
        <v>5.7723257394227678E-2</v>
      </c>
      <c r="R30" s="14">
        <f t="shared" si="25"/>
        <v>5.8331911990448626E-2</v>
      </c>
      <c r="S30" s="14">
        <f t="shared" si="25"/>
        <v>-0.23550460847339472</v>
      </c>
      <c r="T30" s="14">
        <f t="shared" si="25"/>
        <v>4.4920634920634805E-2</v>
      </c>
      <c r="U30" s="14">
        <f t="shared" si="25"/>
        <v>0.17015670728247034</v>
      </c>
      <c r="AP30" s="3">
        <v>-2.1954812108116171</v>
      </c>
      <c r="AQ30" s="3">
        <v>-0.2199906460672601</v>
      </c>
      <c r="AR30" s="3">
        <v>-10.979788971563631</v>
      </c>
      <c r="AS30" s="3">
        <v>-4.249491088768818</v>
      </c>
      <c r="AT30" s="3">
        <v>17.644751917211327</v>
      </c>
      <c r="AU30" s="3">
        <v>-2.8493755861333478</v>
      </c>
      <c r="AV30" s="3">
        <v>1.2781803781824728</v>
      </c>
      <c r="AZ30" s="3">
        <v>-16.503435264434671</v>
      </c>
      <c r="BA30" s="3">
        <v>-18.254517623361508</v>
      </c>
      <c r="BB30" s="3">
        <v>-54.017988196634754</v>
      </c>
      <c r="BC30" s="3">
        <v>-71.228299939601612</v>
      </c>
      <c r="BD30" s="3">
        <v>160.00424102403252</v>
      </c>
      <c r="BE30" s="3">
        <v>0.30150229700265324</v>
      </c>
      <c r="BF30" s="3">
        <v>7.8279471257136718E-2</v>
      </c>
    </row>
    <row r="31" spans="2:59" ht="14.25" customHeight="1">
      <c r="B31" s="13" t="s">
        <v>56</v>
      </c>
      <c r="C31" s="14">
        <v>53904</v>
      </c>
      <c r="D31" s="3">
        <v>27.78</v>
      </c>
      <c r="E31" s="3">
        <v>103.29</v>
      </c>
      <c r="F31" s="3">
        <v>49.15</v>
      </c>
      <c r="G31" s="3">
        <v>279.61</v>
      </c>
      <c r="H31" s="14">
        <v>2345.1999999999998</v>
      </c>
      <c r="I31" s="14">
        <v>1291.0999999999999</v>
      </c>
      <c r="J31" s="3">
        <v>126</v>
      </c>
      <c r="K31" s="14">
        <v>6167.55</v>
      </c>
      <c r="L31" s="14"/>
      <c r="M31" s="14">
        <f t="shared" ref="M31:U31" si="26">C31/C32-1</f>
        <v>2.1720662207821873E-2</v>
      </c>
      <c r="N31" s="14">
        <f t="shared" si="26"/>
        <v>0.19638242894056868</v>
      </c>
      <c r="O31" s="14">
        <f t="shared" si="26"/>
        <v>9.6147723654887107E-2</v>
      </c>
      <c r="P31" s="14">
        <f t="shared" si="26"/>
        <v>3.7357534824820515E-2</v>
      </c>
      <c r="Q31" s="14">
        <f t="shared" si="26"/>
        <v>5.9489977643893743E-2</v>
      </c>
      <c r="R31" s="14">
        <f t="shared" si="26"/>
        <v>-0.10590926420129632</v>
      </c>
      <c r="S31" s="14">
        <f t="shared" si="26"/>
        <v>-4.7959650183609481E-2</v>
      </c>
      <c r="T31" s="14">
        <f t="shared" si="26"/>
        <v>-0.11386173429917712</v>
      </c>
      <c r="U31" s="14">
        <f t="shared" si="26"/>
        <v>7.9753151260504307E-2</v>
      </c>
      <c r="AP31" s="3">
        <v>3.5259425277189265</v>
      </c>
      <c r="AQ31" s="3">
        <v>-5.9435998120717214E-3</v>
      </c>
      <c r="AR31" s="3">
        <v>-0.55212886736980704</v>
      </c>
      <c r="AS31" s="3">
        <v>-0.11849447440370098</v>
      </c>
      <c r="AT31" s="3">
        <v>-2.8493755861333465</v>
      </c>
      <c r="AU31" s="3">
        <v>-9.2819407965014145E-2</v>
      </c>
      <c r="AV31" s="3">
        <v>3.5795891455960065E-2</v>
      </c>
      <c r="AZ31" s="3">
        <v>2.1260617337266545</v>
      </c>
      <c r="BA31" s="3">
        <v>1.5137789084168789</v>
      </c>
      <c r="BB31" s="3">
        <v>-3.6721776553389995</v>
      </c>
      <c r="BC31" s="3">
        <v>-0.26916528380718763</v>
      </c>
      <c r="BD31" s="3">
        <v>0.30150229700265435</v>
      </c>
      <c r="BE31" s="3">
        <v>-0.16037932523985579</v>
      </c>
      <c r="BF31" s="3">
        <v>1.9507639630138823E-2</v>
      </c>
    </row>
    <row r="32" spans="2:59" ht="14.25" customHeight="1">
      <c r="B32" s="13" t="s">
        <v>57</v>
      </c>
      <c r="C32" s="14">
        <v>52758.06</v>
      </c>
      <c r="D32" s="3">
        <v>23.22</v>
      </c>
      <c r="E32" s="3">
        <v>94.23</v>
      </c>
      <c r="F32" s="3">
        <v>47.38</v>
      </c>
      <c r="G32" s="3">
        <v>263.91000000000003</v>
      </c>
      <c r="H32" s="14">
        <v>2623</v>
      </c>
      <c r="I32" s="14">
        <v>1356.14</v>
      </c>
      <c r="J32" s="3">
        <v>142.19</v>
      </c>
      <c r="K32" s="14">
        <v>5712</v>
      </c>
      <c r="L32" s="14"/>
      <c r="M32" s="14">
        <f t="shared" ref="M32:U32" si="27">C32/C33-1</f>
        <v>-3.3102431316317404E-2</v>
      </c>
      <c r="N32" s="14">
        <f t="shared" si="27"/>
        <v>0.18833162743091103</v>
      </c>
      <c r="O32" s="14">
        <f t="shared" si="27"/>
        <v>-8.6298846116551808E-2</v>
      </c>
      <c r="P32" s="14">
        <f t="shared" si="27"/>
        <v>-1.2093411175979951E-2</v>
      </c>
      <c r="Q32" s="14">
        <f t="shared" si="27"/>
        <v>-1.3051608077785937E-2</v>
      </c>
      <c r="R32" s="14">
        <f t="shared" si="27"/>
        <v>1.1450381679389832E-3</v>
      </c>
      <c r="S32" s="14">
        <f t="shared" si="27"/>
        <v>-2.785663082437273E-2</v>
      </c>
      <c r="T32" s="14">
        <f t="shared" si="27"/>
        <v>9.1586058651927038E-2</v>
      </c>
      <c r="U32" s="14">
        <f t="shared" si="27"/>
        <v>-0.11166407465007777</v>
      </c>
      <c r="AP32" s="3">
        <v>-0.48094537289049721</v>
      </c>
      <c r="AQ32" s="3">
        <v>2.2281260391979647E-3</v>
      </c>
      <c r="AR32" s="3">
        <v>0.15588327517615871</v>
      </c>
      <c r="AS32" s="3">
        <v>4.4653593492667919E-2</v>
      </c>
      <c r="AT32" s="3">
        <v>1.2781803781824728</v>
      </c>
      <c r="AU32" s="3">
        <v>3.5795891455960085E-2</v>
      </c>
      <c r="AV32" s="3">
        <v>-1.3498823368764347E-2</v>
      </c>
      <c r="AZ32" s="3">
        <v>-0.24900971021258014</v>
      </c>
      <c r="BA32" s="3">
        <v>-0.1684024790919845</v>
      </c>
      <c r="BB32" s="3">
        <v>0.83527644943445323</v>
      </c>
      <c r="BC32" s="3">
        <v>0.50385626861297483</v>
      </c>
      <c r="BD32" s="3">
        <v>7.8279471257136621E-2</v>
      </c>
      <c r="BE32" s="3">
        <v>1.9507639630138837E-2</v>
      </c>
      <c r="BF32" s="3">
        <v>-3.7217174758887354E-3</v>
      </c>
    </row>
    <row r="33" spans="2:54" ht="14.25" customHeight="1">
      <c r="B33" s="13" t="s">
        <v>58</v>
      </c>
      <c r="C33" s="14">
        <v>54564.27</v>
      </c>
      <c r="D33" s="3">
        <v>19.54</v>
      </c>
      <c r="E33" s="3">
        <v>103.13</v>
      </c>
      <c r="F33" s="3">
        <v>47.96</v>
      </c>
      <c r="G33" s="3">
        <v>267.39999999999998</v>
      </c>
      <c r="H33" s="14">
        <v>2620</v>
      </c>
      <c r="I33" s="14">
        <v>1395</v>
      </c>
      <c r="J33" s="3">
        <v>130.26</v>
      </c>
      <c r="K33" s="14">
        <v>6430</v>
      </c>
      <c r="L33" s="14"/>
      <c r="M33" s="14">
        <f t="shared" ref="M33:U33" si="28">C33/C34-1</f>
        <v>0.12587544615719826</v>
      </c>
      <c r="N33" s="14">
        <f t="shared" si="28"/>
        <v>0.33744010951403158</v>
      </c>
      <c r="O33" s="14">
        <f t="shared" si="28"/>
        <v>0.22773809523809518</v>
      </c>
      <c r="P33" s="14">
        <f t="shared" si="28"/>
        <v>1.4811680067710498E-2</v>
      </c>
      <c r="Q33" s="14">
        <f t="shared" si="28"/>
        <v>1.4685235077600334E-2</v>
      </c>
      <c r="R33" s="14">
        <f t="shared" si="28"/>
        <v>1.0724481135715003E-2</v>
      </c>
      <c r="S33" s="14">
        <f t="shared" si="28"/>
        <v>-3.7931034482758585E-2</v>
      </c>
      <c r="T33" s="14">
        <f t="shared" si="28"/>
        <v>0.11571734475374718</v>
      </c>
      <c r="U33" s="14">
        <f t="shared" si="28"/>
        <v>-9.487612612612617E-2</v>
      </c>
    </row>
    <row r="34" spans="2:54" ht="14.25" customHeight="1">
      <c r="B34" s="13" t="s">
        <v>59</v>
      </c>
      <c r="C34" s="14">
        <v>48463.86</v>
      </c>
      <c r="D34" s="3">
        <v>14.61</v>
      </c>
      <c r="E34" s="3">
        <v>84</v>
      </c>
      <c r="F34" s="3">
        <v>47.26</v>
      </c>
      <c r="G34" s="3">
        <v>263.52999999999997</v>
      </c>
      <c r="H34" s="14">
        <v>2592.1999999999998</v>
      </c>
      <c r="I34" s="14">
        <v>1450</v>
      </c>
      <c r="J34" s="3">
        <v>116.75</v>
      </c>
      <c r="K34" s="14">
        <v>7104</v>
      </c>
      <c r="L34" s="14"/>
      <c r="M34" s="14">
        <f t="shared" ref="M34:U34" si="29">C34/C35-1</f>
        <v>-6.2319990805818182E-2</v>
      </c>
      <c r="N34" s="14">
        <f t="shared" si="29"/>
        <v>-0.13652482269503563</v>
      </c>
      <c r="O34" s="14">
        <f t="shared" si="29"/>
        <v>-0.1298943443132381</v>
      </c>
      <c r="P34" s="14">
        <f t="shared" si="29"/>
        <v>-6.9868136193662722E-2</v>
      </c>
      <c r="Q34" s="14">
        <f t="shared" si="29"/>
        <v>-3.3945525862385195E-2</v>
      </c>
      <c r="R34" s="14">
        <f t="shared" si="29"/>
        <v>-2.0306659662198134E-2</v>
      </c>
      <c r="S34" s="14">
        <f t="shared" si="29"/>
        <v>0.10941086457536353</v>
      </c>
      <c r="T34" s="14">
        <f t="shared" si="29"/>
        <v>5.1801801801801828E-2</v>
      </c>
      <c r="U34" s="14">
        <f t="shared" si="29"/>
        <v>8.3747338537969451E-3</v>
      </c>
      <c r="AO34" s="44" t="s">
        <v>60</v>
      </c>
      <c r="AP34" s="42"/>
      <c r="AQ34" s="42"/>
      <c r="AY34" s="44" t="s">
        <v>60</v>
      </c>
      <c r="AZ34" s="42"/>
      <c r="BA34" s="42"/>
    </row>
    <row r="35" spans="2:54" ht="14.25" customHeight="1">
      <c r="B35" s="13" t="s">
        <v>61</v>
      </c>
      <c r="C35" s="14">
        <v>51684.86</v>
      </c>
      <c r="D35" s="3">
        <v>16.920000000000002</v>
      </c>
      <c r="E35" s="3">
        <v>96.54</v>
      </c>
      <c r="F35" s="3">
        <v>50.81</v>
      </c>
      <c r="G35" s="3">
        <v>272.79000000000002</v>
      </c>
      <c r="H35" s="14">
        <v>2645.93</v>
      </c>
      <c r="I35" s="14">
        <v>1307</v>
      </c>
      <c r="J35" s="3">
        <v>111</v>
      </c>
      <c r="K35" s="14">
        <v>7045</v>
      </c>
      <c r="L35" s="14"/>
      <c r="M35" s="14">
        <f t="shared" ref="M35:U35" si="30">C35/C36-1</f>
        <v>3.5306065625982708E-2</v>
      </c>
      <c r="N35" s="14">
        <f t="shared" si="30"/>
        <v>0.25333333333333341</v>
      </c>
      <c r="O35" s="14">
        <f t="shared" si="30"/>
        <v>-5.7594689574384961E-2</v>
      </c>
      <c r="P35" s="14">
        <f t="shared" si="30"/>
        <v>7.1037099494097866E-2</v>
      </c>
      <c r="Q35" s="14">
        <f t="shared" si="30"/>
        <v>4.7678427345410057E-4</v>
      </c>
      <c r="R35" s="14">
        <f t="shared" si="30"/>
        <v>5.4996012759170654E-2</v>
      </c>
      <c r="S35" s="14">
        <f t="shared" si="30"/>
        <v>1.1116870256763223E-2</v>
      </c>
      <c r="T35" s="14">
        <f t="shared" si="30"/>
        <v>7.7669902912621325E-2</v>
      </c>
      <c r="U35" s="14">
        <f t="shared" si="30"/>
        <v>-1.6329351643058043E-2</v>
      </c>
    </row>
    <row r="36" spans="2:54" ht="14.25" customHeight="1">
      <c r="B36" s="13" t="s">
        <v>62</v>
      </c>
      <c r="C36" s="14">
        <v>49922.3</v>
      </c>
      <c r="D36" s="3">
        <v>13.5</v>
      </c>
      <c r="E36" s="3">
        <v>102.44</v>
      </c>
      <c r="F36" s="3">
        <v>47.44</v>
      </c>
      <c r="G36" s="3">
        <v>272.66000000000003</v>
      </c>
      <c r="H36" s="14">
        <v>2508</v>
      </c>
      <c r="I36" s="14">
        <v>1292.6300000000001</v>
      </c>
      <c r="J36" s="3">
        <v>103</v>
      </c>
      <c r="K36" s="14">
        <v>7161.95</v>
      </c>
      <c r="L36" s="14"/>
      <c r="M36" s="14">
        <f t="shared" ref="M36:U36" si="31">C36/C37-1</f>
        <v>0.11866188030510805</v>
      </c>
      <c r="N36" s="14">
        <f t="shared" si="31"/>
        <v>0.1120263591433277</v>
      </c>
      <c r="O36" s="14">
        <f t="shared" si="31"/>
        <v>-9.3451327433628384E-2</v>
      </c>
      <c r="P36" s="14">
        <f t="shared" si="31"/>
        <v>9.7386074485311225E-2</v>
      </c>
      <c r="Q36" s="14">
        <f t="shared" si="31"/>
        <v>0.18167634567045154</v>
      </c>
      <c r="R36" s="14">
        <f t="shared" si="31"/>
        <v>0.18455543747786041</v>
      </c>
      <c r="S36" s="14">
        <f t="shared" si="31"/>
        <v>-5.0318855060538237E-2</v>
      </c>
      <c r="T36" s="14">
        <f t="shared" si="31"/>
        <v>0.15717335130884158</v>
      </c>
      <c r="U36" s="14">
        <f t="shared" si="31"/>
        <v>6.4404185120233048E-2</v>
      </c>
      <c r="AO36" s="3" t="s">
        <v>63</v>
      </c>
      <c r="AP36" s="3">
        <v>0</v>
      </c>
      <c r="AY36" s="3" t="s">
        <v>63</v>
      </c>
      <c r="AZ36" s="3">
        <v>0</v>
      </c>
    </row>
    <row r="37" spans="2:54" ht="14.25" customHeight="1">
      <c r="B37" s="13" t="s">
        <v>64</v>
      </c>
      <c r="C37" s="14">
        <v>44626.8</v>
      </c>
      <c r="D37" s="3">
        <v>12.14</v>
      </c>
      <c r="E37" s="3">
        <v>113</v>
      </c>
      <c r="F37" s="3">
        <v>43.23</v>
      </c>
      <c r="G37" s="3">
        <v>230.74</v>
      </c>
      <c r="H37" s="14">
        <v>2117.25</v>
      </c>
      <c r="I37" s="14">
        <v>1361.12</v>
      </c>
      <c r="J37" s="3">
        <v>89.01</v>
      </c>
      <c r="K37" s="14">
        <v>6728.6</v>
      </c>
      <c r="L37" s="14"/>
      <c r="M37" s="14">
        <f t="shared" ref="M37:U37" si="32">C37/C38-1</f>
        <v>-6.5099082308196499E-3</v>
      </c>
      <c r="N37" s="14">
        <f t="shared" si="32"/>
        <v>-0.19549370444002645</v>
      </c>
      <c r="O37" s="14">
        <f t="shared" si="32"/>
        <v>-0.10862191370197993</v>
      </c>
      <c r="P37" s="14">
        <f t="shared" si="32"/>
        <v>-2.1502942507922174E-2</v>
      </c>
      <c r="Q37" s="14">
        <f t="shared" si="32"/>
        <v>-8.538132234025686E-2</v>
      </c>
      <c r="R37" s="14">
        <f t="shared" si="32"/>
        <v>-8.4709493342555731E-2</v>
      </c>
      <c r="S37" s="14">
        <f t="shared" si="32"/>
        <v>7.8413817692033261E-2</v>
      </c>
      <c r="T37" s="14">
        <f t="shared" si="32"/>
        <v>-8.7973273942092423E-3</v>
      </c>
      <c r="U37" s="14">
        <f t="shared" si="32"/>
        <v>8.5608260729267638E-2</v>
      </c>
      <c r="AP37" s="3">
        <v>0</v>
      </c>
      <c r="AZ37" s="3">
        <v>0</v>
      </c>
    </row>
    <row r="38" spans="2:54" ht="14.25" customHeight="1">
      <c r="B38" s="13" t="s">
        <v>65</v>
      </c>
      <c r="C38" s="14">
        <v>44919.22</v>
      </c>
      <c r="D38" s="3">
        <v>15.09</v>
      </c>
      <c r="E38" s="3">
        <v>126.77</v>
      </c>
      <c r="F38" s="3">
        <v>44.18</v>
      </c>
      <c r="G38" s="3">
        <v>252.28</v>
      </c>
      <c r="H38" s="14">
        <v>2313.1999999999998</v>
      </c>
      <c r="I38" s="14">
        <v>1262.1500000000001</v>
      </c>
      <c r="J38" s="3">
        <v>89.8</v>
      </c>
      <c r="K38" s="14">
        <v>6198</v>
      </c>
      <c r="L38" s="14"/>
      <c r="M38" s="14">
        <f t="shared" ref="M38:U38" si="33">C38/C39-1</f>
        <v>-6.6988366023579493E-2</v>
      </c>
      <c r="N38" s="14">
        <f t="shared" si="33"/>
        <v>-0.16905286343612336</v>
      </c>
      <c r="O38" s="14">
        <f t="shared" si="33"/>
        <v>-6.0615042608373471E-2</v>
      </c>
      <c r="P38" s="14">
        <f t="shared" si="33"/>
        <v>3.6347114947750114E-3</v>
      </c>
      <c r="Q38" s="14">
        <f t="shared" si="33"/>
        <v>-4.2108060902912303E-2</v>
      </c>
      <c r="R38" s="14">
        <f t="shared" si="33"/>
        <v>-1.2246571130886452E-2</v>
      </c>
      <c r="S38" s="14">
        <f t="shared" si="33"/>
        <v>-1.6526929310559657E-2</v>
      </c>
      <c r="T38" s="14">
        <f t="shared" si="33"/>
        <v>-3.326515233071381E-2</v>
      </c>
      <c r="U38" s="14">
        <f t="shared" si="33"/>
        <v>-7.2294566681634476E-2</v>
      </c>
      <c r="AP38" s="3">
        <v>0</v>
      </c>
      <c r="AZ38" s="3">
        <v>0</v>
      </c>
    </row>
    <row r="39" spans="2:54" ht="14.25" customHeight="1">
      <c r="B39" s="13" t="s">
        <v>66</v>
      </c>
      <c r="C39" s="14">
        <v>48144.33</v>
      </c>
      <c r="D39" s="3">
        <v>18.16</v>
      </c>
      <c r="E39" s="3">
        <v>134.94999999999999</v>
      </c>
      <c r="F39" s="3">
        <v>44.02</v>
      </c>
      <c r="G39" s="3">
        <v>263.37</v>
      </c>
      <c r="H39" s="14">
        <v>2341.88</v>
      </c>
      <c r="I39" s="14">
        <v>1283.3599999999999</v>
      </c>
      <c r="J39" s="3">
        <v>92.89</v>
      </c>
      <c r="K39" s="14">
        <v>6681</v>
      </c>
      <c r="L39" s="14"/>
      <c r="M39" s="14">
        <f t="shared" ref="M39:U39" si="34">C39/C40-1</f>
        <v>1.304339134908461E-2</v>
      </c>
      <c r="N39" s="14">
        <f t="shared" si="34"/>
        <v>0.19788918205804751</v>
      </c>
      <c r="O39" s="14">
        <f t="shared" si="34"/>
        <v>0.27059598907824123</v>
      </c>
      <c r="P39" s="14">
        <f t="shared" si="34"/>
        <v>8.6109055020972214E-2</v>
      </c>
      <c r="Q39" s="14">
        <f t="shared" si="34"/>
        <v>6.679358392741408E-2</v>
      </c>
      <c r="R39" s="14">
        <f t="shared" si="34"/>
        <v>3.898846495119801E-2</v>
      </c>
      <c r="S39" s="14">
        <f t="shared" si="34"/>
        <v>-5.1632021164177644E-2</v>
      </c>
      <c r="T39" s="14">
        <f t="shared" si="34"/>
        <v>1.4747651299978015E-2</v>
      </c>
      <c r="U39" s="14">
        <f t="shared" si="34"/>
        <v>2.7846153846153854E-2</v>
      </c>
      <c r="AP39" s="3">
        <v>0</v>
      </c>
      <c r="AZ39" s="3">
        <v>0</v>
      </c>
    </row>
    <row r="40" spans="2:54" ht="14.25" customHeight="1">
      <c r="B40" s="13" t="s">
        <v>67</v>
      </c>
      <c r="C40" s="14">
        <v>47524.45</v>
      </c>
      <c r="D40" s="3">
        <v>15.16</v>
      </c>
      <c r="E40" s="3">
        <v>106.21</v>
      </c>
      <c r="F40" s="3">
        <v>40.53</v>
      </c>
      <c r="G40" s="3">
        <v>246.88</v>
      </c>
      <c r="H40" s="14">
        <v>2254</v>
      </c>
      <c r="I40" s="14">
        <v>1353.23</v>
      </c>
      <c r="J40" s="3">
        <v>91.54</v>
      </c>
      <c r="K40" s="14">
        <v>6500</v>
      </c>
      <c r="L40" s="14"/>
      <c r="M40" s="14">
        <f t="shared" ref="M40:U40" si="35">C40/C41-1</f>
        <v>-8.1698034859358559E-2</v>
      </c>
      <c r="N40" s="14">
        <f t="shared" si="35"/>
        <v>-0.18800214247455815</v>
      </c>
      <c r="O40" s="14">
        <f t="shared" si="35"/>
        <v>-0.11646285666749856</v>
      </c>
      <c r="P40" s="14">
        <f t="shared" si="35"/>
        <v>-5.480410447761197E-2</v>
      </c>
      <c r="Q40" s="14">
        <f t="shared" si="35"/>
        <v>-2.1133182665239336E-2</v>
      </c>
      <c r="R40" s="14">
        <f t="shared" si="35"/>
        <v>-0.13264324469927269</v>
      </c>
      <c r="S40" s="14">
        <f t="shared" si="35"/>
        <v>-1.317008072690673E-2</v>
      </c>
      <c r="T40" s="14">
        <f t="shared" si="35"/>
        <v>-0.14846511627906966</v>
      </c>
      <c r="U40" s="14">
        <f t="shared" si="35"/>
        <v>6.236751051335232E-2</v>
      </c>
      <c r="AP40" s="3">
        <v>0</v>
      </c>
      <c r="AZ40" s="3">
        <v>0</v>
      </c>
    </row>
    <row r="41" spans="2:54" ht="14.25" customHeight="1">
      <c r="B41" s="13" t="s">
        <v>68</v>
      </c>
      <c r="C41" s="14">
        <v>51752.53</v>
      </c>
      <c r="D41" s="3">
        <v>18.670000000000002</v>
      </c>
      <c r="E41" s="3">
        <v>120.21</v>
      </c>
      <c r="F41" s="3">
        <v>42.88</v>
      </c>
      <c r="G41" s="3">
        <v>252.21</v>
      </c>
      <c r="H41" s="14">
        <v>2598.6999999999998</v>
      </c>
      <c r="I41" s="14">
        <v>1371.29</v>
      </c>
      <c r="J41" s="3">
        <v>107.5</v>
      </c>
      <c r="K41" s="14">
        <v>6118.41</v>
      </c>
      <c r="L41" s="14"/>
      <c r="M41" s="14">
        <f t="shared" ref="M41:U41" si="36">C41/C42-1</f>
        <v>6.5066746120081564E-3</v>
      </c>
      <c r="N41" s="14">
        <f t="shared" si="36"/>
        <v>6.4690026954179469E-3</v>
      </c>
      <c r="O41" s="14">
        <f t="shared" si="36"/>
        <v>-3.2748632121017085E-2</v>
      </c>
      <c r="P41" s="14">
        <f t="shared" si="36"/>
        <v>-0.15921568627450977</v>
      </c>
      <c r="Q41" s="14">
        <f t="shared" si="36"/>
        <v>1.2241130197463423E-2</v>
      </c>
      <c r="R41" s="14">
        <f t="shared" si="36"/>
        <v>6.3297872340425387E-2</v>
      </c>
      <c r="S41" s="14">
        <f t="shared" si="36"/>
        <v>-3.5335415611458143E-2</v>
      </c>
      <c r="T41" s="14">
        <f t="shared" si="36"/>
        <v>3.2664489034064381E-3</v>
      </c>
      <c r="U41" s="14">
        <f t="shared" si="36"/>
        <v>2.3253285881288388E-2</v>
      </c>
      <c r="AP41" s="3" t="s">
        <v>69</v>
      </c>
      <c r="AZ41" s="3" t="s">
        <v>69</v>
      </c>
    </row>
    <row r="42" spans="2:54" ht="14.25" customHeight="1">
      <c r="B42" s="13" t="s">
        <v>70</v>
      </c>
      <c r="C42" s="14">
        <v>51417.97</v>
      </c>
      <c r="D42" s="3">
        <v>18.55</v>
      </c>
      <c r="E42" s="3">
        <v>124.28</v>
      </c>
      <c r="F42" s="3">
        <v>51</v>
      </c>
      <c r="G42" s="3">
        <v>249.16</v>
      </c>
      <c r="H42" s="14">
        <v>2444</v>
      </c>
      <c r="I42" s="14">
        <v>1421.52</v>
      </c>
      <c r="J42" s="3">
        <v>107.15</v>
      </c>
      <c r="K42" s="14">
        <v>5979.37</v>
      </c>
      <c r="L42" s="14"/>
      <c r="M42" s="14">
        <f t="shared" ref="M42:U42" si="37">C42/C43-1</f>
        <v>-9.0537859669156395E-2</v>
      </c>
      <c r="N42" s="14">
        <f t="shared" si="37"/>
        <v>-0.32026383290582627</v>
      </c>
      <c r="O42" s="14">
        <f t="shared" si="37"/>
        <v>-0.23754601226993866</v>
      </c>
      <c r="P42" s="14">
        <f t="shared" si="37"/>
        <v>2.739726027397249E-2</v>
      </c>
      <c r="Q42" s="14">
        <f t="shared" si="37"/>
        <v>7.6027175671302683E-3</v>
      </c>
      <c r="R42" s="14">
        <f t="shared" si="37"/>
        <v>-0.10367843913888575</v>
      </c>
      <c r="S42" s="14">
        <f t="shared" si="37"/>
        <v>3.0086956521739205E-2</v>
      </c>
      <c r="T42" s="14">
        <f t="shared" si="37"/>
        <v>-6.2636689703437942E-2</v>
      </c>
      <c r="U42" s="14">
        <f t="shared" si="37"/>
        <v>2.9399511069792883E-2</v>
      </c>
      <c r="AP42" s="3">
        <v>1</v>
      </c>
      <c r="AZ42" s="3">
        <v>1</v>
      </c>
    </row>
    <row r="43" spans="2:54" ht="14.25" customHeight="1">
      <c r="B43" s="13" t="s">
        <v>71</v>
      </c>
      <c r="C43" s="14">
        <v>56536.68</v>
      </c>
      <c r="D43" s="3">
        <v>27.29</v>
      </c>
      <c r="E43" s="3">
        <v>163</v>
      </c>
      <c r="F43" s="3">
        <v>49.64</v>
      </c>
      <c r="G43" s="3">
        <v>247.28</v>
      </c>
      <c r="H43" s="14">
        <v>2726.7</v>
      </c>
      <c r="I43" s="14">
        <v>1380</v>
      </c>
      <c r="J43" s="3">
        <v>114.31</v>
      </c>
      <c r="K43" s="14">
        <v>5808.6</v>
      </c>
      <c r="L43" s="14"/>
      <c r="M43" s="14">
        <f t="shared" ref="M43:U43" si="38">C43/C44-1</f>
        <v>5.8727231767577104E-2</v>
      </c>
      <c r="N43" s="14">
        <f t="shared" si="38"/>
        <v>0.11890118901189006</v>
      </c>
      <c r="O43" s="14">
        <f t="shared" si="38"/>
        <v>6.1474342276634619E-2</v>
      </c>
      <c r="P43" s="14">
        <f t="shared" si="38"/>
        <v>0.10188679245283017</v>
      </c>
      <c r="Q43" s="14">
        <f t="shared" si="38"/>
        <v>1.0254524655799235E-2</v>
      </c>
      <c r="R43" s="14">
        <f t="shared" si="38"/>
        <v>-5.9758620689655206E-2</v>
      </c>
      <c r="S43" s="14">
        <f t="shared" si="38"/>
        <v>1.6911683430971713E-2</v>
      </c>
      <c r="T43" s="14">
        <f t="shared" si="38"/>
        <v>-5.1762754043965131E-2</v>
      </c>
      <c r="U43" s="14">
        <f t="shared" si="38"/>
        <v>0.13464288225780008</v>
      </c>
    </row>
    <row r="44" spans="2:54" ht="14.25" customHeight="1">
      <c r="B44" s="13" t="s">
        <v>72</v>
      </c>
      <c r="C44" s="14">
        <v>53400.61</v>
      </c>
      <c r="D44" s="3">
        <v>24.39</v>
      </c>
      <c r="E44" s="3">
        <v>153.56</v>
      </c>
      <c r="F44" s="3">
        <v>45.05</v>
      </c>
      <c r="G44" s="3">
        <v>244.77</v>
      </c>
      <c r="H44" s="14">
        <v>2900</v>
      </c>
      <c r="I44" s="14">
        <v>1357.05</v>
      </c>
      <c r="J44" s="3">
        <v>120.55</v>
      </c>
      <c r="K44" s="14">
        <v>5119.32</v>
      </c>
      <c r="L44" s="14"/>
      <c r="M44" s="14">
        <f t="shared" ref="M44:U44" si="39">C44/C45-1</f>
        <v>4.0321950639820026E-2</v>
      </c>
      <c r="N44" s="14">
        <f t="shared" si="39"/>
        <v>-4.083299305839061E-3</v>
      </c>
      <c r="O44" s="14">
        <f t="shared" si="39"/>
        <v>2.6676472554656661E-2</v>
      </c>
      <c r="P44" s="14">
        <f t="shared" si="39"/>
        <v>-3.3261802575107358E-2</v>
      </c>
      <c r="Q44" s="14">
        <f t="shared" si="39"/>
        <v>-5.6581229523993026E-2</v>
      </c>
      <c r="R44" s="14">
        <f t="shared" si="39"/>
        <v>-5.143511325537653E-2</v>
      </c>
      <c r="S44" s="14">
        <f t="shared" si="39"/>
        <v>8.1564664344748961E-2</v>
      </c>
      <c r="T44" s="14">
        <f t="shared" si="39"/>
        <v>-7.8434370460974012E-2</v>
      </c>
      <c r="U44" s="14">
        <f t="shared" si="39"/>
        <v>1.5738095238095218E-2</v>
      </c>
      <c r="AO44" s="44" t="s">
        <v>73</v>
      </c>
      <c r="AP44" s="42"/>
      <c r="AQ44" s="42"/>
      <c r="AY44" s="44" t="s">
        <v>73</v>
      </c>
      <c r="AZ44" s="42"/>
      <c r="BA44" s="42"/>
    </row>
    <row r="45" spans="2:54" ht="14.25" customHeight="1">
      <c r="B45" s="13" t="s">
        <v>74</v>
      </c>
      <c r="C45" s="14">
        <v>51330.85</v>
      </c>
      <c r="D45" s="3">
        <v>24.49</v>
      </c>
      <c r="E45" s="3">
        <v>149.57</v>
      </c>
      <c r="F45" s="3">
        <v>46.6</v>
      </c>
      <c r="G45" s="3">
        <v>259.45</v>
      </c>
      <c r="H45" s="14">
        <v>3057.25</v>
      </c>
      <c r="I45" s="14">
        <v>1254.71</v>
      </c>
      <c r="J45" s="3">
        <v>130.81</v>
      </c>
      <c r="K45" s="14">
        <v>5040</v>
      </c>
      <c r="L45" s="14"/>
      <c r="M45" s="14">
        <f t="shared" ref="M45:U45" si="40">C45/C46-1</f>
        <v>-3.6446425205978961E-2</v>
      </c>
      <c r="N45" s="14">
        <f t="shared" si="40"/>
        <v>-0.16729003740224424</v>
      </c>
      <c r="O45" s="14">
        <f t="shared" si="40"/>
        <v>-0.10286708253358934</v>
      </c>
      <c r="P45" s="14">
        <f t="shared" si="40"/>
        <v>-3.3796392286958188E-2</v>
      </c>
      <c r="Q45" s="14">
        <f t="shared" si="40"/>
        <v>-3.2155780206662432E-2</v>
      </c>
      <c r="R45" s="14">
        <f t="shared" si="40"/>
        <v>-5.3172248477828643E-2</v>
      </c>
      <c r="S45" s="14">
        <f t="shared" si="40"/>
        <v>-3.0879978991109835E-2</v>
      </c>
      <c r="T45" s="14">
        <f t="shared" si="40"/>
        <v>8.5650261432484109E-2</v>
      </c>
      <c r="U45" s="14">
        <f t="shared" si="40"/>
        <v>-0.11392405063291144</v>
      </c>
    </row>
    <row r="46" spans="2:54" ht="14.25" customHeight="1">
      <c r="B46" s="13" t="s">
        <v>75</v>
      </c>
      <c r="C46" s="14">
        <v>53272.44</v>
      </c>
      <c r="D46" s="3">
        <v>29.41</v>
      </c>
      <c r="E46" s="3">
        <v>166.72</v>
      </c>
      <c r="F46" s="3">
        <v>48.23</v>
      </c>
      <c r="G46" s="3">
        <v>268.07</v>
      </c>
      <c r="H46" s="14">
        <v>3228.94</v>
      </c>
      <c r="I46" s="14">
        <v>1294.69</v>
      </c>
      <c r="J46" s="3">
        <v>120.49</v>
      </c>
      <c r="K46" s="14">
        <v>5688</v>
      </c>
      <c r="L46" s="14"/>
      <c r="M46" s="14">
        <f t="shared" ref="M46:U46" si="41">C46/C47-1</f>
        <v>7.1907686958537331E-2</v>
      </c>
      <c r="N46" s="14">
        <f t="shared" si="41"/>
        <v>-0.10006119951040393</v>
      </c>
      <c r="O46" s="14">
        <f t="shared" si="41"/>
        <v>-4.9215854006273152E-2</v>
      </c>
      <c r="P46" s="14">
        <f t="shared" si="41"/>
        <v>2.8796928327645022E-2</v>
      </c>
      <c r="Q46" s="14">
        <f t="shared" si="41"/>
        <v>9.5952575633687642E-2</v>
      </c>
      <c r="R46" s="14">
        <f t="shared" si="41"/>
        <v>-5.3174519394301956E-2</v>
      </c>
      <c r="S46" s="14">
        <f t="shared" si="41"/>
        <v>-3.7405204460966512E-2</v>
      </c>
      <c r="T46" s="14">
        <f t="shared" si="41"/>
        <v>4.7739130434782506E-2</v>
      </c>
      <c r="U46" s="14">
        <f t="shared" si="41"/>
        <v>5.1386321626617271E-2</v>
      </c>
      <c r="AO46" s="3" t="s">
        <v>76</v>
      </c>
      <c r="AP46" s="3">
        <v>3.525942527718926</v>
      </c>
      <c r="AQ46" s="3" t="s">
        <v>77</v>
      </c>
      <c r="AR46" s="3">
        <v>-0.48094537289049727</v>
      </c>
      <c r="AS46" s="32"/>
      <c r="AY46" s="3" t="s">
        <v>76</v>
      </c>
      <c r="AZ46" s="3">
        <v>2.1260617337266536</v>
      </c>
      <c r="BA46" s="3" t="s">
        <v>77</v>
      </c>
      <c r="BB46" s="3">
        <v>-0.24900971021257962</v>
      </c>
    </row>
    <row r="47" spans="2:54" ht="14.25" customHeight="1">
      <c r="B47" s="13" t="s">
        <v>78</v>
      </c>
      <c r="C47" s="14">
        <v>49698.720000000001</v>
      </c>
      <c r="D47" s="3">
        <v>32.68</v>
      </c>
      <c r="E47" s="3">
        <v>175.35</v>
      </c>
      <c r="F47" s="3">
        <v>46.88</v>
      </c>
      <c r="G47" s="3">
        <v>244.6</v>
      </c>
      <c r="H47" s="14">
        <v>3410.28</v>
      </c>
      <c r="I47" s="14">
        <v>1345</v>
      </c>
      <c r="J47" s="3">
        <v>115</v>
      </c>
      <c r="K47" s="14">
        <v>5410</v>
      </c>
      <c r="L47" s="14"/>
      <c r="M47" s="14">
        <f t="shared" ref="M47:U47" si="42">C47/C48-1</f>
        <v>-3.1399825062794928E-2</v>
      </c>
      <c r="N47" s="14">
        <f t="shared" si="42"/>
        <v>0.27806022682831433</v>
      </c>
      <c r="O47" s="14">
        <f t="shared" si="42"/>
        <v>3.9912228679871875E-2</v>
      </c>
      <c r="P47" s="14">
        <f t="shared" si="42"/>
        <v>-5.8823529411764719E-2</v>
      </c>
      <c r="Q47" s="14">
        <f t="shared" si="42"/>
        <v>-3.8688658114437446E-3</v>
      </c>
      <c r="R47" s="14">
        <f t="shared" si="42"/>
        <v>-2.3681649012310291E-2</v>
      </c>
      <c r="S47" s="14">
        <f t="shared" si="42"/>
        <v>9.3495934959349603E-2</v>
      </c>
      <c r="T47" s="14">
        <f t="shared" si="42"/>
        <v>-0.19462147209188319</v>
      </c>
      <c r="U47" s="14">
        <f t="shared" si="42"/>
        <v>3.224575462697965E-2</v>
      </c>
      <c r="AP47" s="3">
        <v>-5.9435998120717284E-3</v>
      </c>
      <c r="AQ47" s="3" t="s">
        <v>77</v>
      </c>
      <c r="AR47" s="3">
        <v>2.2281260391979665E-3</v>
      </c>
      <c r="AS47" s="32"/>
      <c r="AZ47" s="3">
        <v>1.5137789084168791</v>
      </c>
      <c r="BA47" s="3" t="s">
        <v>77</v>
      </c>
      <c r="BB47" s="3">
        <v>-0.16840247909198508</v>
      </c>
    </row>
    <row r="48" spans="2:54" ht="14.25" customHeight="1">
      <c r="B48" s="13" t="s">
        <v>79</v>
      </c>
      <c r="C48" s="14">
        <v>51309.84</v>
      </c>
      <c r="D48" s="3">
        <v>25.57</v>
      </c>
      <c r="E48" s="3">
        <v>168.62</v>
      </c>
      <c r="F48" s="3">
        <v>49.81</v>
      </c>
      <c r="G48" s="3">
        <v>245.55</v>
      </c>
      <c r="H48" s="14">
        <v>3493</v>
      </c>
      <c r="I48" s="14">
        <v>1230</v>
      </c>
      <c r="J48" s="3">
        <v>142.79</v>
      </c>
      <c r="K48" s="14">
        <v>5241</v>
      </c>
      <c r="L48" s="14"/>
      <c r="M48" s="14">
        <f t="shared" ref="M48:U48" si="43">C48/C49-1</f>
        <v>-1.4733714049962598E-3</v>
      </c>
      <c r="N48" s="14">
        <f t="shared" si="43"/>
        <v>0.23407335907335924</v>
      </c>
      <c r="O48" s="14">
        <f t="shared" si="43"/>
        <v>2.6605783866057831E-2</v>
      </c>
      <c r="P48" s="14">
        <f t="shared" si="43"/>
        <v>7.2105036590615512E-2</v>
      </c>
      <c r="Q48" s="14">
        <f t="shared" si="43"/>
        <v>1.8414831404752974E-2</v>
      </c>
      <c r="R48" s="14">
        <f t="shared" si="43"/>
        <v>2.8805372290292341E-2</v>
      </c>
      <c r="S48" s="14">
        <f t="shared" si="43"/>
        <v>8.2711019665384633E-3</v>
      </c>
      <c r="T48" s="14">
        <f t="shared" si="43"/>
        <v>5.0853694436267194E-2</v>
      </c>
      <c r="U48" s="14">
        <f t="shared" si="43"/>
        <v>9.3675006781995362E-2</v>
      </c>
      <c r="AP48" s="3">
        <v>-0.55212886736980693</v>
      </c>
      <c r="AQ48" s="3" t="s">
        <v>77</v>
      </c>
      <c r="AR48" s="3">
        <v>0.15588327517615885</v>
      </c>
      <c r="AS48" s="32"/>
      <c r="AZ48" s="3">
        <v>-3.6721776553390031</v>
      </c>
      <c r="BA48" s="3" t="s">
        <v>77</v>
      </c>
      <c r="BB48" s="3">
        <v>0.83527644943445312</v>
      </c>
    </row>
    <row r="49" spans="2:55" ht="14.25" customHeight="1">
      <c r="B49" s="13" t="s">
        <v>80</v>
      </c>
      <c r="C49" s="14">
        <v>51385.55</v>
      </c>
      <c r="D49" s="3">
        <v>20.72</v>
      </c>
      <c r="E49" s="3">
        <v>164.25</v>
      </c>
      <c r="F49" s="3">
        <v>46.46</v>
      </c>
      <c r="G49" s="3">
        <v>241.11</v>
      </c>
      <c r="H49" s="14">
        <v>3395.2</v>
      </c>
      <c r="I49" s="14">
        <v>1219.9100000000001</v>
      </c>
      <c r="J49" s="3">
        <v>135.88</v>
      </c>
      <c r="K49" s="14">
        <v>4792.1000000000004</v>
      </c>
      <c r="L49" s="14"/>
      <c r="M49" s="14">
        <f t="shared" ref="M49:U49" si="44">C49/C50-1</f>
        <v>-3.6004115206264897E-2</v>
      </c>
      <c r="N49" s="14">
        <f t="shared" si="44"/>
        <v>-7.4586869138008161E-2</v>
      </c>
      <c r="O49" s="14">
        <f t="shared" si="44"/>
        <v>-5.3532326841074007E-2</v>
      </c>
      <c r="P49" s="14">
        <f t="shared" si="44"/>
        <v>-5.894267773951789E-2</v>
      </c>
      <c r="Q49" s="14">
        <f t="shared" si="44"/>
        <v>1.5371009854291184E-2</v>
      </c>
      <c r="R49" s="14">
        <f t="shared" si="44"/>
        <v>5.8684128468974084E-2</v>
      </c>
      <c r="S49" s="14">
        <f t="shared" si="44"/>
        <v>5.4373379429559332E-2</v>
      </c>
      <c r="T49" s="14">
        <f t="shared" si="44"/>
        <v>3.7093573500228905E-2</v>
      </c>
      <c r="U49" s="14">
        <f t="shared" si="44"/>
        <v>-0.10549589623072941</v>
      </c>
      <c r="AP49" s="3">
        <v>-0.11849447440370099</v>
      </c>
      <c r="AQ49" s="3" t="s">
        <v>77</v>
      </c>
      <c r="AR49" s="3">
        <v>4.4653593492667912E-2</v>
      </c>
      <c r="AS49" s="32"/>
      <c r="AZ49" s="3">
        <v>-0.26916528380718308</v>
      </c>
      <c r="BA49" s="3" t="s">
        <v>77</v>
      </c>
      <c r="BB49" s="3">
        <v>0.50385626861297483</v>
      </c>
    </row>
    <row r="50" spans="2:55" ht="14.25" customHeight="1">
      <c r="B50" s="13" t="s">
        <v>81</v>
      </c>
      <c r="C50" s="14">
        <v>53304.74</v>
      </c>
      <c r="D50" s="3">
        <v>22.39</v>
      </c>
      <c r="E50" s="3">
        <v>173.54</v>
      </c>
      <c r="F50" s="3">
        <v>49.37</v>
      </c>
      <c r="G50" s="3">
        <v>237.46</v>
      </c>
      <c r="H50" s="14">
        <v>3207</v>
      </c>
      <c r="I50" s="14">
        <v>1157</v>
      </c>
      <c r="J50" s="3">
        <v>131.02000000000001</v>
      </c>
      <c r="K50" s="14">
        <v>5357.27</v>
      </c>
      <c r="L50" s="14"/>
      <c r="M50" s="14">
        <f t="shared" ref="M50:U50" si="45">C50/C51-1</f>
        <v>4.7896608340908475E-2</v>
      </c>
      <c r="N50" s="14">
        <f t="shared" si="45"/>
        <v>0.14820512820512821</v>
      </c>
      <c r="O50" s="14">
        <f t="shared" si="45"/>
        <v>4.30340185118403E-2</v>
      </c>
      <c r="P50" s="14">
        <f t="shared" si="45"/>
        <v>3.8930976430976205E-2</v>
      </c>
      <c r="Q50" s="14">
        <f t="shared" si="45"/>
        <v>-2.1630752750195659E-2</v>
      </c>
      <c r="R50" s="14">
        <f t="shared" si="45"/>
        <v>6.526801106789204E-2</v>
      </c>
      <c r="S50" s="14">
        <f t="shared" si="45"/>
        <v>-8.3201267828843073E-2</v>
      </c>
      <c r="T50" s="14">
        <f t="shared" si="45"/>
        <v>4.8076153907687491E-2</v>
      </c>
      <c r="U50" s="14">
        <f t="shared" si="45"/>
        <v>8.5700562784863044E-2</v>
      </c>
      <c r="AP50" s="3">
        <v>-2.8493755861333465</v>
      </c>
      <c r="AQ50" s="3" t="s">
        <v>77</v>
      </c>
      <c r="AR50" s="3">
        <v>1.2781803781824725</v>
      </c>
      <c r="AS50" s="32"/>
      <c r="AZ50" s="3">
        <v>0.30150229700265324</v>
      </c>
      <c r="BA50" s="3" t="s">
        <v>77</v>
      </c>
      <c r="BB50" s="3">
        <v>7.8279471257136718E-2</v>
      </c>
    </row>
    <row r="51" spans="2:55" ht="14.25" customHeight="1">
      <c r="B51" s="13" t="s">
        <v>82</v>
      </c>
      <c r="C51" s="14">
        <v>50868.32</v>
      </c>
      <c r="D51" s="3">
        <v>19.5</v>
      </c>
      <c r="E51" s="3">
        <v>166.38</v>
      </c>
      <c r="F51" s="3">
        <v>47.52</v>
      </c>
      <c r="G51" s="3">
        <v>242.71</v>
      </c>
      <c r="H51" s="14">
        <v>3010.51</v>
      </c>
      <c r="I51" s="14">
        <v>1262</v>
      </c>
      <c r="J51" s="3">
        <v>125.01</v>
      </c>
      <c r="K51" s="14">
        <v>4934.3900000000003</v>
      </c>
      <c r="L51" s="14"/>
      <c r="M51" s="14">
        <f t="shared" ref="M51:U51" si="46">C51/C52-1</f>
        <v>1.1504730089133552E-2</v>
      </c>
      <c r="N51" s="14">
        <f t="shared" si="46"/>
        <v>-2.5000000000000022E-2</v>
      </c>
      <c r="O51" s="14">
        <f t="shared" si="46"/>
        <v>-3.2730655194465386E-2</v>
      </c>
      <c r="P51" s="14">
        <f t="shared" si="46"/>
        <v>1.0848755583918512E-2</v>
      </c>
      <c r="Q51" s="14">
        <f t="shared" si="46"/>
        <v>5.0738127191653382E-2</v>
      </c>
      <c r="R51" s="14">
        <f t="shared" si="46"/>
        <v>-2.5728072077436659E-2</v>
      </c>
      <c r="S51" s="14">
        <f t="shared" si="46"/>
        <v>-3.8849666034531327E-2</v>
      </c>
      <c r="T51" s="14">
        <f t="shared" si="46"/>
        <v>1.6341463414634161E-2</v>
      </c>
      <c r="U51" s="14">
        <f t="shared" si="46"/>
        <v>7.6724171790921725E-2</v>
      </c>
    </row>
    <row r="52" spans="2:55" ht="14.25" customHeight="1">
      <c r="B52" s="13" t="s">
        <v>83</v>
      </c>
      <c r="C52" s="14">
        <v>50289.75</v>
      </c>
      <c r="D52" s="3">
        <v>20</v>
      </c>
      <c r="E52" s="3">
        <v>172.01</v>
      </c>
      <c r="F52" s="3">
        <v>47.01</v>
      </c>
      <c r="G52" s="3">
        <v>230.99</v>
      </c>
      <c r="H52" s="14">
        <v>3090.01</v>
      </c>
      <c r="I52" s="14">
        <v>1313.01</v>
      </c>
      <c r="J52" s="3">
        <v>123</v>
      </c>
      <c r="K52" s="14">
        <v>4582.78</v>
      </c>
      <c r="L52" s="14"/>
      <c r="M52" s="14">
        <f t="shared" ref="M52:U52" si="47">C52/C53-1</f>
        <v>-1.1716397158744174E-2</v>
      </c>
      <c r="N52" s="14">
        <f t="shared" si="47"/>
        <v>0.23152709359605916</v>
      </c>
      <c r="O52" s="14">
        <f t="shared" si="47"/>
        <v>6.739062984796762E-2</v>
      </c>
      <c r="P52" s="14">
        <f t="shared" si="47"/>
        <v>-6.9708491761725222E-3</v>
      </c>
      <c r="Q52" s="14">
        <f t="shared" si="47"/>
        <v>-1.2398990978665037E-2</v>
      </c>
      <c r="R52" s="14">
        <f t="shared" si="47"/>
        <v>-5.7923780487804777E-2</v>
      </c>
      <c r="S52" s="14">
        <f t="shared" si="47"/>
        <v>1.8547824063300133E-2</v>
      </c>
      <c r="T52" s="14">
        <f t="shared" si="47"/>
        <v>2.9288702928870203E-2</v>
      </c>
      <c r="U52" s="14">
        <f t="shared" si="47"/>
        <v>0.15058498619131311</v>
      </c>
    </row>
    <row r="53" spans="2:55" ht="14.25" customHeight="1">
      <c r="B53" s="13" t="s">
        <v>84</v>
      </c>
      <c r="C53" s="14">
        <v>50885.95</v>
      </c>
      <c r="D53" s="3">
        <v>16.239999999999998</v>
      </c>
      <c r="E53" s="3">
        <v>161.15</v>
      </c>
      <c r="F53" s="3">
        <v>47.34</v>
      </c>
      <c r="G53" s="3">
        <v>233.89</v>
      </c>
      <c r="H53" s="14">
        <v>3280</v>
      </c>
      <c r="I53" s="14">
        <v>1289.0999999999999</v>
      </c>
      <c r="J53" s="3">
        <v>119.5</v>
      </c>
      <c r="K53" s="14">
        <v>3983</v>
      </c>
      <c r="L53" s="14"/>
      <c r="M53" s="14">
        <f t="shared" ref="M53:U53" si="48">C53/C54-1</f>
        <v>5.9909326694677523E-2</v>
      </c>
      <c r="N53" s="14">
        <f t="shared" si="48"/>
        <v>8.1945369753497532E-2</v>
      </c>
      <c r="O53" s="14">
        <f t="shared" si="48"/>
        <v>-7.0485089692565062E-2</v>
      </c>
      <c r="P53" s="14">
        <f t="shared" si="48"/>
        <v>1.5008576329331058E-2</v>
      </c>
      <c r="Q53" s="14">
        <f t="shared" si="48"/>
        <v>-9.2765164351068519E-3</v>
      </c>
      <c r="R53" s="14">
        <f t="shared" si="48"/>
        <v>5.2969502407704594E-2</v>
      </c>
      <c r="S53" s="14">
        <f t="shared" si="48"/>
        <v>5.1468189233278894E-2</v>
      </c>
      <c r="T53" s="14">
        <f t="shared" si="48"/>
        <v>6.2222222222222179E-2</v>
      </c>
      <c r="U53" s="14">
        <f t="shared" si="48"/>
        <v>7.5033738191632837E-2</v>
      </c>
      <c r="AO53" s="44" t="s">
        <v>85</v>
      </c>
      <c r="AP53" s="42"/>
      <c r="AQ53" s="42"/>
      <c r="AR53" s="42"/>
      <c r="AY53" s="44" t="s">
        <v>85</v>
      </c>
      <c r="AZ53" s="42"/>
      <c r="BA53" s="42"/>
      <c r="BB53" s="42"/>
    </row>
    <row r="54" spans="2:55" ht="14.25" customHeight="1">
      <c r="B54" s="13" t="s">
        <v>86</v>
      </c>
      <c r="C54" s="14">
        <v>48009.72</v>
      </c>
      <c r="D54" s="3">
        <v>15.01</v>
      </c>
      <c r="E54" s="3">
        <v>173.37</v>
      </c>
      <c r="F54" s="3">
        <v>46.64</v>
      </c>
      <c r="G54" s="3">
        <v>236.08</v>
      </c>
      <c r="H54" s="14">
        <v>3115</v>
      </c>
      <c r="I54" s="14">
        <v>1226</v>
      </c>
      <c r="J54" s="3">
        <v>112.5</v>
      </c>
      <c r="K54" s="14">
        <v>3705</v>
      </c>
      <c r="L54" s="14"/>
      <c r="M54" s="14">
        <f t="shared" ref="M54:U54" si="49">C54/C55-1</f>
        <v>1.6159162651181225E-2</v>
      </c>
      <c r="N54" s="14">
        <f t="shared" si="49"/>
        <v>0.12434456928838955</v>
      </c>
      <c r="O54" s="14">
        <f t="shared" si="49"/>
        <v>0.12068519715578541</v>
      </c>
      <c r="P54" s="14">
        <f t="shared" si="49"/>
        <v>3.0035335689045928E-2</v>
      </c>
      <c r="Q54" s="14">
        <f t="shared" si="49"/>
        <v>5.3270277505130803E-2</v>
      </c>
      <c r="R54" s="14">
        <f t="shared" si="49"/>
        <v>-5.4278416347381953E-3</v>
      </c>
      <c r="S54" s="14">
        <f t="shared" si="49"/>
        <v>1.4061207609594728E-2</v>
      </c>
      <c r="T54" s="14">
        <f t="shared" si="49"/>
        <v>7.34732824427482E-2</v>
      </c>
      <c r="U54" s="14">
        <f t="shared" si="49"/>
        <v>-3.2210035237480783E-2</v>
      </c>
    </row>
    <row r="55" spans="2:55" ht="14.25" customHeight="1">
      <c r="B55" s="13" t="s">
        <v>87</v>
      </c>
      <c r="C55" s="14">
        <v>47246.26</v>
      </c>
      <c r="D55" s="3">
        <v>13.35</v>
      </c>
      <c r="E55" s="3">
        <v>154.69999999999999</v>
      </c>
      <c r="F55" s="3">
        <v>45.28</v>
      </c>
      <c r="G55" s="3">
        <v>224.14</v>
      </c>
      <c r="H55" s="14">
        <v>3132</v>
      </c>
      <c r="I55" s="14">
        <v>1209</v>
      </c>
      <c r="J55" s="3">
        <v>104.8</v>
      </c>
      <c r="K55" s="14">
        <v>3828.31</v>
      </c>
      <c r="L55" s="14"/>
      <c r="M55" s="14">
        <f t="shared" ref="M55:U55" si="50">C55/C56-1</f>
        <v>5.9501611354809469E-2</v>
      </c>
      <c r="N55" s="14">
        <f t="shared" si="50"/>
        <v>-2.6258205689277947E-2</v>
      </c>
      <c r="O55" s="14">
        <f t="shared" si="50"/>
        <v>3.233107015840897E-4</v>
      </c>
      <c r="P55" s="14">
        <f t="shared" si="50"/>
        <v>4.5486030939736688E-2</v>
      </c>
      <c r="Q55" s="14">
        <f t="shared" si="50"/>
        <v>8.7319297564761866E-2</v>
      </c>
      <c r="R55" s="14">
        <f t="shared" si="50"/>
        <v>1.0648596321394033E-2</v>
      </c>
      <c r="S55" s="14">
        <f t="shared" si="50"/>
        <v>0.23366088101141824</v>
      </c>
      <c r="T55" s="14">
        <f t="shared" si="50"/>
        <v>-8.8378566457898322E-2</v>
      </c>
      <c r="U55" s="14">
        <f t="shared" si="50"/>
        <v>-0.11361194721000234</v>
      </c>
      <c r="AO55" s="6" t="s">
        <v>7</v>
      </c>
      <c r="AP55" s="32" t="s">
        <v>88</v>
      </c>
      <c r="AQ55" s="3">
        <v>3.525942527718926</v>
      </c>
      <c r="AR55" s="3" t="s">
        <v>77</v>
      </c>
      <c r="AS55" s="3">
        <v>-0.48094537289049727</v>
      </c>
      <c r="AY55" s="6" t="s">
        <v>7</v>
      </c>
      <c r="AZ55" s="32" t="s">
        <v>88</v>
      </c>
      <c r="BA55" s="3">
        <v>2.1260617337266536</v>
      </c>
      <c r="BB55" s="3" t="s">
        <v>77</v>
      </c>
      <c r="BC55" s="3">
        <v>-0.24900971021257962</v>
      </c>
    </row>
    <row r="56" spans="2:55" ht="14.25" customHeight="1">
      <c r="B56" s="13" t="s">
        <v>89</v>
      </c>
      <c r="C56" s="14">
        <v>44592.91</v>
      </c>
      <c r="D56" s="3">
        <v>13.71</v>
      </c>
      <c r="E56" s="3">
        <v>154.65</v>
      </c>
      <c r="F56" s="3">
        <v>43.31</v>
      </c>
      <c r="G56" s="3">
        <v>206.14</v>
      </c>
      <c r="H56" s="14">
        <v>3099</v>
      </c>
      <c r="I56" s="3">
        <v>980.01</v>
      </c>
      <c r="J56" s="3">
        <v>114.96</v>
      </c>
      <c r="K56" s="14">
        <v>4319</v>
      </c>
      <c r="L56" s="14"/>
      <c r="M56" s="14">
        <f t="shared" ref="M56:U56" si="51">C56/C57-1</f>
        <v>3.7388686896791201E-2</v>
      </c>
      <c r="N56" s="14">
        <f t="shared" si="51"/>
        <v>5.5427251732101723E-2</v>
      </c>
      <c r="O56" s="14">
        <f t="shared" si="51"/>
        <v>-3.5306593475141868E-2</v>
      </c>
      <c r="P56" s="14">
        <f t="shared" si="51"/>
        <v>-7.5165492205850892E-2</v>
      </c>
      <c r="Q56" s="14">
        <f t="shared" si="51"/>
        <v>-8.1793687451886532E-3</v>
      </c>
      <c r="R56" s="14">
        <f t="shared" si="51"/>
        <v>0.18508604206500956</v>
      </c>
      <c r="S56" s="14">
        <f t="shared" si="51"/>
        <v>5.7195870505615032E-2</v>
      </c>
      <c r="T56" s="14">
        <f t="shared" si="51"/>
        <v>0.25928360170883979</v>
      </c>
      <c r="U56" s="14">
        <f t="shared" si="51"/>
        <v>2.8333333333333321E-2</v>
      </c>
      <c r="AO56" s="6" t="s">
        <v>8</v>
      </c>
      <c r="AP56" s="32" t="s">
        <v>90</v>
      </c>
      <c r="AQ56" s="3">
        <v>-5.9435998120717284E-3</v>
      </c>
      <c r="AR56" s="3" t="s">
        <v>77</v>
      </c>
      <c r="AS56" s="3">
        <v>2.2281260391979665E-3</v>
      </c>
      <c r="AY56" s="6" t="s">
        <v>8</v>
      </c>
      <c r="AZ56" s="32" t="s">
        <v>90</v>
      </c>
      <c r="BA56" s="3">
        <v>1.5137789084168791</v>
      </c>
      <c r="BB56" s="3" t="s">
        <v>77</v>
      </c>
      <c r="BC56" s="3">
        <v>-0.16840247909198508</v>
      </c>
    </row>
    <row r="57" spans="2:55" ht="14.25" customHeight="1">
      <c r="B57" s="13" t="s">
        <v>91</v>
      </c>
      <c r="C57" s="14">
        <v>42985.73</v>
      </c>
      <c r="D57" s="3">
        <v>12.99</v>
      </c>
      <c r="E57" s="3">
        <v>160.31</v>
      </c>
      <c r="F57" s="3">
        <v>46.83</v>
      </c>
      <c r="G57" s="3">
        <v>207.84</v>
      </c>
      <c r="H57" s="14">
        <v>2615</v>
      </c>
      <c r="I57" s="3">
        <v>926.99</v>
      </c>
      <c r="J57" s="3">
        <v>91.29</v>
      </c>
      <c r="K57" s="14">
        <v>4200</v>
      </c>
      <c r="L57" s="14"/>
      <c r="M57" s="14">
        <f t="shared" ref="M57:U57" si="52">C57/C58-1</f>
        <v>-2.4534298774952834E-2</v>
      </c>
      <c r="N57" s="14">
        <f t="shared" si="52"/>
        <v>-5.3598774885145195E-3</v>
      </c>
      <c r="O57" s="14">
        <f t="shared" si="52"/>
        <v>-1.5597175314706724E-2</v>
      </c>
      <c r="P57" s="14">
        <f t="shared" si="52"/>
        <v>-2.5390218522372554E-2</v>
      </c>
      <c r="Q57" s="14">
        <f t="shared" si="52"/>
        <v>-3.1410196663249179E-2</v>
      </c>
      <c r="R57" s="14">
        <f t="shared" si="52"/>
        <v>3.5028695824262712E-2</v>
      </c>
      <c r="S57" s="14">
        <f t="shared" si="52"/>
        <v>0.12056814747657896</v>
      </c>
      <c r="T57" s="14">
        <f t="shared" si="52"/>
        <v>-5.6043842415468781E-2</v>
      </c>
      <c r="U57" s="14">
        <f t="shared" si="52"/>
        <v>0.26239855725879169</v>
      </c>
      <c r="AO57" s="6" t="s">
        <v>9</v>
      </c>
      <c r="AP57" s="32" t="s">
        <v>92</v>
      </c>
      <c r="AQ57" s="3">
        <v>-0.55212886736980693</v>
      </c>
      <c r="AR57" s="3" t="s">
        <v>77</v>
      </c>
      <c r="AS57" s="3">
        <v>0.15588327517615885</v>
      </c>
      <c r="AY57" s="6" t="s">
        <v>9</v>
      </c>
      <c r="AZ57" s="32" t="s">
        <v>92</v>
      </c>
      <c r="BA57" s="3">
        <v>-3.6721776553390031</v>
      </c>
      <c r="BB57" s="3" t="s">
        <v>77</v>
      </c>
      <c r="BC57" s="3">
        <v>0.83527644943445312</v>
      </c>
    </row>
    <row r="58" spans="2:55" ht="14.25" customHeight="1">
      <c r="B58" s="13" t="s">
        <v>93</v>
      </c>
      <c r="C58" s="14">
        <v>44066.879999999997</v>
      </c>
      <c r="D58" s="3">
        <v>13.06</v>
      </c>
      <c r="E58" s="3">
        <v>162.85</v>
      </c>
      <c r="F58" s="3">
        <v>48.05</v>
      </c>
      <c r="G58" s="3">
        <v>214.58</v>
      </c>
      <c r="H58" s="14">
        <v>2526.5</v>
      </c>
      <c r="I58" s="3">
        <v>827.25</v>
      </c>
      <c r="J58" s="3">
        <v>96.71</v>
      </c>
      <c r="K58" s="14">
        <v>3327</v>
      </c>
      <c r="L58" s="14"/>
      <c r="M58" s="14">
        <f t="shared" ref="M58:U58" si="53">C58/C59-1</f>
        <v>5.476476505946648E-2</v>
      </c>
      <c r="N58" s="14">
        <f t="shared" si="53"/>
        <v>-2.5373134328358193E-2</v>
      </c>
      <c r="O58" s="14">
        <f t="shared" si="53"/>
        <v>2.8093434343434254E-2</v>
      </c>
      <c r="P58" s="14">
        <f t="shared" si="53"/>
        <v>-5.6548203416454057E-2</v>
      </c>
      <c r="Q58" s="14">
        <f t="shared" si="53"/>
        <v>-1.3153053715967533E-2</v>
      </c>
      <c r="R58" s="14">
        <f t="shared" si="53"/>
        <v>5.4884031648608556E-2</v>
      </c>
      <c r="S58" s="14">
        <f t="shared" si="53"/>
        <v>3.1676747521356852E-2</v>
      </c>
      <c r="T58" s="14">
        <f t="shared" si="53"/>
        <v>6.4033447023875034E-2</v>
      </c>
      <c r="U58" s="14">
        <f t="shared" si="53"/>
        <v>0.13510747185260996</v>
      </c>
      <c r="AO58" s="6" t="s">
        <v>18</v>
      </c>
      <c r="AP58" s="32" t="s">
        <v>94</v>
      </c>
      <c r="AQ58" s="3">
        <v>-0.11849447440370099</v>
      </c>
      <c r="AR58" s="3" t="s">
        <v>77</v>
      </c>
      <c r="AS58" s="3">
        <v>4.4653593492667912E-2</v>
      </c>
      <c r="AY58" s="6" t="s">
        <v>18</v>
      </c>
      <c r="AZ58" s="32" t="s">
        <v>94</v>
      </c>
      <c r="BA58" s="3">
        <v>-0.26916528380718308</v>
      </c>
      <c r="BB58" s="3" t="s">
        <v>77</v>
      </c>
      <c r="BC58" s="3">
        <v>0.50385626861297483</v>
      </c>
    </row>
    <row r="59" spans="2:55" ht="14.25" customHeight="1">
      <c r="B59" s="13" t="s">
        <v>95</v>
      </c>
      <c r="C59" s="14">
        <v>41778.870000000003</v>
      </c>
      <c r="D59" s="3">
        <v>13.4</v>
      </c>
      <c r="E59" s="3">
        <v>158.4</v>
      </c>
      <c r="F59" s="3">
        <v>50.93</v>
      </c>
      <c r="G59" s="3">
        <v>217.44</v>
      </c>
      <c r="H59" s="14">
        <v>2395.0500000000002</v>
      </c>
      <c r="I59" s="3">
        <v>801.85</v>
      </c>
      <c r="J59" s="3">
        <v>90.89</v>
      </c>
      <c r="K59" s="14">
        <v>2931</v>
      </c>
      <c r="L59" s="14"/>
      <c r="M59" s="14">
        <f t="shared" ref="M59:U59" si="54">C59/C60-1</f>
        <v>0.12952925635600443</v>
      </c>
      <c r="N59" s="14">
        <f t="shared" si="54"/>
        <v>6.9433359936153405E-2</v>
      </c>
      <c r="O59" s="14">
        <f t="shared" si="54"/>
        <v>4.3409525064225019E-2</v>
      </c>
      <c r="P59" s="14">
        <f t="shared" si="54"/>
        <v>0.10118918918918918</v>
      </c>
      <c r="Q59" s="14">
        <f t="shared" si="54"/>
        <v>2.0845070422535139E-2</v>
      </c>
      <c r="R59" s="14">
        <f t="shared" si="54"/>
        <v>0.16439221939705684</v>
      </c>
      <c r="S59" s="14">
        <f t="shared" si="54"/>
        <v>-7.1943611763752746E-2</v>
      </c>
      <c r="T59" s="14">
        <f t="shared" si="54"/>
        <v>0.52372170997485346</v>
      </c>
      <c r="U59" s="14">
        <f t="shared" si="54"/>
        <v>6.8557574873767457E-2</v>
      </c>
      <c r="AO59" s="6" t="s">
        <v>19</v>
      </c>
      <c r="AP59" s="32" t="s">
        <v>96</v>
      </c>
      <c r="AQ59" s="3">
        <v>-2.8493755861333465</v>
      </c>
      <c r="AR59" s="3" t="s">
        <v>77</v>
      </c>
      <c r="AS59" s="3">
        <v>1.2781803781824725</v>
      </c>
      <c r="AY59" s="33" t="s">
        <v>97</v>
      </c>
      <c r="AZ59" s="32" t="s">
        <v>96</v>
      </c>
      <c r="BA59" s="3">
        <v>0.30150229700265324</v>
      </c>
      <c r="BB59" s="3" t="s">
        <v>77</v>
      </c>
      <c r="BC59" s="3">
        <v>7.8279471257136718E-2</v>
      </c>
    </row>
    <row r="60" spans="2:55" ht="14.25" customHeight="1">
      <c r="B60" s="13" t="s">
        <v>98</v>
      </c>
      <c r="C60" s="14">
        <v>36987.86</v>
      </c>
      <c r="D60" s="3">
        <v>12.53</v>
      </c>
      <c r="E60" s="3">
        <v>151.81</v>
      </c>
      <c r="F60" s="3">
        <v>46.25</v>
      </c>
      <c r="G60" s="3">
        <v>213</v>
      </c>
      <c r="H60" s="14">
        <v>2056.91</v>
      </c>
      <c r="I60" s="3">
        <v>864.01</v>
      </c>
      <c r="J60" s="3">
        <v>59.65</v>
      </c>
      <c r="K60" s="14">
        <v>2742.95</v>
      </c>
      <c r="L60" s="14"/>
      <c r="M60" s="14">
        <f t="shared" ref="M60:U60" si="55">C60/C61-1</f>
        <v>-1.2569313021891682E-2</v>
      </c>
      <c r="N60" s="14">
        <f t="shared" si="55"/>
        <v>-7.3909830007391042E-2</v>
      </c>
      <c r="O60" s="14">
        <f t="shared" si="55"/>
        <v>-3.5759654471544722E-2</v>
      </c>
      <c r="P60" s="14">
        <f t="shared" si="55"/>
        <v>-8.3619210977701197E-3</v>
      </c>
      <c r="Q60" s="14">
        <f t="shared" si="55"/>
        <v>-2.9568545264021195E-2</v>
      </c>
      <c r="R60" s="14">
        <f t="shared" si="55"/>
        <v>-4.4697303950026801E-2</v>
      </c>
      <c r="S60" s="14">
        <f t="shared" si="55"/>
        <v>2.8595578518791909E-2</v>
      </c>
      <c r="T60" s="14">
        <f t="shared" si="55"/>
        <v>2.3525457906234948E-3</v>
      </c>
      <c r="U60" s="14">
        <f t="shared" si="55"/>
        <v>-0.16220219914477707</v>
      </c>
    </row>
    <row r="61" spans="2:55" ht="14.25" customHeight="1">
      <c r="B61" s="13" t="s">
        <v>99</v>
      </c>
      <c r="C61" s="14">
        <v>37458.69</v>
      </c>
      <c r="D61" s="3">
        <v>13.53</v>
      </c>
      <c r="E61" s="3">
        <v>157.44</v>
      </c>
      <c r="F61" s="3">
        <v>46.64</v>
      </c>
      <c r="G61" s="3">
        <v>219.49</v>
      </c>
      <c r="H61" s="14">
        <v>2153.15</v>
      </c>
      <c r="I61" s="3">
        <v>839.99</v>
      </c>
      <c r="J61" s="3">
        <v>59.51</v>
      </c>
      <c r="K61" s="14">
        <v>3274</v>
      </c>
      <c r="L61" s="14"/>
      <c r="M61" s="14">
        <f t="shared" ref="M61:U61" si="56">C61/C62-1</f>
        <v>1.6773826142967296E-2</v>
      </c>
      <c r="N61" s="14">
        <f t="shared" si="56"/>
        <v>1.1967090501121991E-2</v>
      </c>
      <c r="O61" s="14">
        <f t="shared" si="56"/>
        <v>-8.7568820631701016E-2</v>
      </c>
      <c r="P61" s="14">
        <f t="shared" si="56"/>
        <v>7.7787381158167523E-3</v>
      </c>
      <c r="Q61" s="14">
        <f t="shared" si="56"/>
        <v>2.7959910078681149E-2</v>
      </c>
      <c r="R61" s="14">
        <f t="shared" si="56"/>
        <v>-1.8560808069757906E-2</v>
      </c>
      <c r="S61" s="14">
        <f t="shared" si="56"/>
        <v>1.8169696969696947E-2</v>
      </c>
      <c r="T61" s="14">
        <f t="shared" si="56"/>
        <v>-6.7825814536340956E-2</v>
      </c>
      <c r="U61" s="14">
        <f t="shared" si="56"/>
        <v>7.0747462319287191E-3</v>
      </c>
      <c r="AO61" s="48" t="s">
        <v>100</v>
      </c>
      <c r="AP61" s="49"/>
      <c r="AQ61" s="49"/>
      <c r="AR61" s="50"/>
      <c r="AY61" s="48" t="s">
        <v>100</v>
      </c>
      <c r="AZ61" s="49"/>
      <c r="BA61" s="49"/>
      <c r="BB61" s="50"/>
    </row>
    <row r="62" spans="2:55" ht="14.25" customHeight="1">
      <c r="B62" s="13" t="s">
        <v>101</v>
      </c>
      <c r="C62" s="14">
        <v>36840.730000000003</v>
      </c>
      <c r="D62" s="3">
        <v>13.37</v>
      </c>
      <c r="E62" s="3">
        <v>172.55</v>
      </c>
      <c r="F62" s="3">
        <v>46.28</v>
      </c>
      <c r="G62" s="3">
        <v>213.52</v>
      </c>
      <c r="H62" s="14">
        <v>2193.87</v>
      </c>
      <c r="I62" s="3">
        <v>825</v>
      </c>
      <c r="J62" s="3">
        <v>63.84</v>
      </c>
      <c r="K62" s="14">
        <v>3251</v>
      </c>
      <c r="L62" s="14"/>
      <c r="M62" s="14">
        <f t="shared" ref="M62:U62" si="57">C62/C63-1</f>
        <v>-4.833915366097119E-3</v>
      </c>
      <c r="N62" s="14">
        <f t="shared" si="57"/>
        <v>0.26013195098963249</v>
      </c>
      <c r="O62" s="14">
        <f t="shared" si="57"/>
        <v>9.0501169184099339E-2</v>
      </c>
      <c r="P62" s="14">
        <f t="shared" si="57"/>
        <v>7.3035010433572856E-2</v>
      </c>
      <c r="Q62" s="14">
        <f t="shared" si="57"/>
        <v>9.9032324480131884E-2</v>
      </c>
      <c r="R62" s="14">
        <f t="shared" si="57"/>
        <v>2.9908551470312128E-2</v>
      </c>
      <c r="S62" s="14">
        <f t="shared" si="57"/>
        <v>8.2748211824922757E-2</v>
      </c>
      <c r="T62" s="14">
        <f t="shared" si="57"/>
        <v>-6.8708971553610443E-2</v>
      </c>
      <c r="U62" s="14">
        <f t="shared" si="57"/>
        <v>-3.2642009105245839E-2</v>
      </c>
    </row>
    <row r="63" spans="2:55" ht="14.25" customHeight="1">
      <c r="B63" s="13" t="s">
        <v>102</v>
      </c>
      <c r="C63" s="14">
        <v>37019.68</v>
      </c>
      <c r="D63" s="3">
        <v>10.61</v>
      </c>
      <c r="E63" s="3">
        <v>158.22999999999999</v>
      </c>
      <c r="F63" s="3">
        <v>43.13</v>
      </c>
      <c r="G63" s="3">
        <v>194.28</v>
      </c>
      <c r="H63" s="14">
        <v>2130.16</v>
      </c>
      <c r="I63" s="3">
        <v>761.95</v>
      </c>
      <c r="J63" s="3">
        <v>68.55</v>
      </c>
      <c r="K63" s="14">
        <v>3360.7</v>
      </c>
      <c r="L63" s="14"/>
      <c r="M63" s="14">
        <f t="shared" ref="M63:U63" si="58">C63/C64-1</f>
        <v>-1.8473381494483965E-2</v>
      </c>
      <c r="N63" s="14">
        <f t="shared" si="58"/>
        <v>0.11684210526315786</v>
      </c>
      <c r="O63" s="14">
        <f t="shared" si="58"/>
        <v>0.14709293895896769</v>
      </c>
      <c r="P63" s="14">
        <f t="shared" si="58"/>
        <v>8.0140245429501711E-2</v>
      </c>
      <c r="Q63" s="14">
        <f t="shared" si="58"/>
        <v>5.3179378760774165E-2</v>
      </c>
      <c r="R63" s="14">
        <f t="shared" si="58"/>
        <v>-1.586509586509588E-2</v>
      </c>
      <c r="S63" s="14">
        <f t="shared" si="58"/>
        <v>2.5657894736843545E-3</v>
      </c>
      <c r="T63" s="14">
        <f t="shared" si="58"/>
        <v>-0.10939327010523581</v>
      </c>
      <c r="U63" s="14">
        <f t="shared" si="58"/>
        <v>-0.10069574525020075</v>
      </c>
      <c r="AO63" s="3" t="s">
        <v>103</v>
      </c>
      <c r="AP63" s="4">
        <v>0.21</v>
      </c>
      <c r="AY63" s="53" t="s">
        <v>103</v>
      </c>
      <c r="AZ63" s="51">
        <v>0.2</v>
      </c>
    </row>
    <row r="64" spans="2:55" ht="14.25" customHeight="1">
      <c r="B64" s="13" t="s">
        <v>104</v>
      </c>
      <c r="C64" s="14">
        <v>37716.43</v>
      </c>
      <c r="D64" s="3">
        <v>9.5</v>
      </c>
      <c r="E64" s="3">
        <v>137.94</v>
      </c>
      <c r="F64" s="3">
        <v>39.93</v>
      </c>
      <c r="G64" s="3">
        <v>184.47</v>
      </c>
      <c r="H64" s="14">
        <v>2164.5</v>
      </c>
      <c r="I64" s="3">
        <v>760</v>
      </c>
      <c r="J64" s="3">
        <v>76.97</v>
      </c>
      <c r="K64" s="14">
        <v>3737</v>
      </c>
      <c r="L64" s="14"/>
      <c r="M64" s="14">
        <f t="shared" ref="M64:U64" si="59">C64/C65-1</f>
        <v>4.4119035299934328E-2</v>
      </c>
      <c r="N64" s="14">
        <f t="shared" si="59"/>
        <v>6.9819819819819662E-2</v>
      </c>
      <c r="O64" s="14">
        <f t="shared" si="59"/>
        <v>0.12954471012119217</v>
      </c>
      <c r="P64" s="14">
        <f t="shared" si="59"/>
        <v>-3.4340991535671161E-2</v>
      </c>
      <c r="Q64" s="14">
        <f t="shared" si="59"/>
        <v>-9.9291541434091135E-3</v>
      </c>
      <c r="R64" s="14">
        <f t="shared" si="59"/>
        <v>5.4545790729054744E-4</v>
      </c>
      <c r="S64" s="14">
        <f t="shared" si="59"/>
        <v>4.8275862068965614E-2</v>
      </c>
      <c r="T64" s="14">
        <f t="shared" si="59"/>
        <v>0.12859237536656876</v>
      </c>
      <c r="U64" s="14">
        <f t="shared" si="59"/>
        <v>0.11452430659111235</v>
      </c>
    </row>
    <row r="65" spans="2:53" ht="14.25" customHeight="1">
      <c r="B65" s="13" t="s">
        <v>105</v>
      </c>
      <c r="C65" s="14">
        <v>36122.730000000003</v>
      </c>
      <c r="D65" s="3">
        <v>8.8800000000000008</v>
      </c>
      <c r="E65" s="3">
        <v>122.12</v>
      </c>
      <c r="F65" s="3">
        <v>41.35</v>
      </c>
      <c r="G65" s="3">
        <v>186.32</v>
      </c>
      <c r="H65" s="14">
        <v>2163.3200000000002</v>
      </c>
      <c r="I65" s="3">
        <v>725</v>
      </c>
      <c r="J65" s="3">
        <v>68.2</v>
      </c>
      <c r="K65" s="14">
        <v>3353</v>
      </c>
      <c r="L65" s="14"/>
      <c r="M65" s="14">
        <f t="shared" ref="M65:U65" si="60">C65/C66-1</f>
        <v>-9.5250603850659532E-3</v>
      </c>
      <c r="N65" s="14">
        <f t="shared" si="60"/>
        <v>0.21477428180574565</v>
      </c>
      <c r="O65" s="14">
        <f t="shared" si="60"/>
        <v>-1.2772837510105051E-2</v>
      </c>
      <c r="P65" s="14">
        <f t="shared" si="60"/>
        <v>2.0483711747285138E-2</v>
      </c>
      <c r="Q65" s="14">
        <f t="shared" si="60"/>
        <v>-6.6112177436553621E-3</v>
      </c>
      <c r="R65" s="14">
        <f t="shared" si="60"/>
        <v>-6.5411516677971071E-2</v>
      </c>
      <c r="S65" s="14">
        <f t="shared" si="60"/>
        <v>-0.24769119020442054</v>
      </c>
      <c r="T65" s="14">
        <f t="shared" si="60"/>
        <v>-0.10121244069583546</v>
      </c>
      <c r="U65" s="14">
        <f t="shared" si="60"/>
        <v>-9.27195683585611E-2</v>
      </c>
      <c r="AO65" s="34" t="s">
        <v>7</v>
      </c>
      <c r="AP65" s="23">
        <f>AQ55*AP63+AS55</f>
        <v>0.25950255793047722</v>
      </c>
      <c r="AY65" s="6" t="s">
        <v>7</v>
      </c>
      <c r="AZ65" s="3">
        <f>BA55*AZ63+BC55</f>
        <v>0.17620263653275114</v>
      </c>
    </row>
    <row r="66" spans="2:53" ht="14.25" customHeight="1">
      <c r="B66" s="13" t="s">
        <v>106</v>
      </c>
      <c r="C66" s="14">
        <v>36470.11</v>
      </c>
      <c r="D66" s="3">
        <v>7.31</v>
      </c>
      <c r="E66" s="3">
        <v>123.7</v>
      </c>
      <c r="F66" s="3">
        <v>40.520000000000003</v>
      </c>
      <c r="G66" s="3">
        <v>187.56</v>
      </c>
      <c r="H66" s="14">
        <v>2314.73</v>
      </c>
      <c r="I66" s="3">
        <v>963.7</v>
      </c>
      <c r="J66" s="3">
        <v>75.88</v>
      </c>
      <c r="K66" s="14">
        <v>3695.66</v>
      </c>
      <c r="L66" s="14"/>
      <c r="M66" s="14">
        <f t="shared" ref="M66:U66" si="61">C66/C67-1</f>
        <v>5.5436436264652E-2</v>
      </c>
      <c r="N66" s="14">
        <f t="shared" si="61"/>
        <v>0.109256449165402</v>
      </c>
      <c r="O66" s="14">
        <f t="shared" si="61"/>
        <v>0.26884808698328033</v>
      </c>
      <c r="P66" s="14">
        <f t="shared" si="61"/>
        <v>6.9976234486401001E-2</v>
      </c>
      <c r="Q66" s="14">
        <f t="shared" si="61"/>
        <v>0.13432113698215908</v>
      </c>
      <c r="R66" s="14">
        <f t="shared" si="61"/>
        <v>8.8951614800178769E-2</v>
      </c>
      <c r="S66" s="14">
        <f t="shared" si="61"/>
        <v>-2.2864385297845291E-2</v>
      </c>
      <c r="T66" s="14">
        <f t="shared" si="61"/>
        <v>2.5266855830293089E-2</v>
      </c>
      <c r="U66" s="14">
        <f t="shared" si="61"/>
        <v>0.12165763228340243</v>
      </c>
      <c r="AO66" s="34" t="s">
        <v>8</v>
      </c>
      <c r="AP66" s="23">
        <f>AQ56*AP63+AS56</f>
        <v>9.7997007866290359E-4</v>
      </c>
      <c r="AY66" s="6" t="s">
        <v>8</v>
      </c>
      <c r="AZ66" s="3">
        <f>BA56*AZ63+BC56</f>
        <v>0.13435330259139078</v>
      </c>
    </row>
    <row r="67" spans="2:53" ht="14.25" customHeight="1">
      <c r="B67" s="13" t="s">
        <v>107</v>
      </c>
      <c r="C67" s="14">
        <v>34554.53</v>
      </c>
      <c r="D67" s="3">
        <v>6.59</v>
      </c>
      <c r="E67" s="3">
        <v>97.49</v>
      </c>
      <c r="F67" s="3">
        <v>37.869999999999997</v>
      </c>
      <c r="G67" s="3">
        <v>165.35</v>
      </c>
      <c r="H67" s="14">
        <v>2125.65</v>
      </c>
      <c r="I67" s="3">
        <v>986.25</v>
      </c>
      <c r="J67" s="3">
        <v>74.010000000000005</v>
      </c>
      <c r="K67" s="14">
        <v>3294.82</v>
      </c>
      <c r="L67" s="14"/>
      <c r="M67" s="14">
        <f t="shared" ref="M67:U67" si="62">C67/C68-1</f>
        <v>-0.16382076312949934</v>
      </c>
      <c r="N67" s="14">
        <f t="shared" si="62"/>
        <v>-2.3703703703703671E-2</v>
      </c>
      <c r="O67" s="14">
        <f t="shared" si="62"/>
        <v>3.5035566408323504E-2</v>
      </c>
      <c r="P67" s="14">
        <f t="shared" si="62"/>
        <v>5.5168570632488034E-2</v>
      </c>
      <c r="Q67" s="14">
        <f t="shared" si="62"/>
        <v>-0.14842663645259302</v>
      </c>
      <c r="R67" s="14">
        <f t="shared" si="62"/>
        <v>-5.3520938620121528E-2</v>
      </c>
      <c r="S67" s="14">
        <f t="shared" si="62"/>
        <v>4.0963016127670393E-2</v>
      </c>
      <c r="T67" s="14">
        <f t="shared" si="62"/>
        <v>-0.19563090968372998</v>
      </c>
      <c r="U67" s="14">
        <f t="shared" si="62"/>
        <v>0.3614958677685951</v>
      </c>
      <c r="AO67" s="34" t="s">
        <v>9</v>
      </c>
      <c r="AP67" s="23">
        <f>AQ57*AP63+AS57</f>
        <v>3.9936213028499395E-2</v>
      </c>
      <c r="AY67" s="6" t="s">
        <v>9</v>
      </c>
      <c r="AZ67" s="3">
        <f>BA57*AZ63+BC57</f>
        <v>0.10084091836665243</v>
      </c>
    </row>
    <row r="68" spans="2:53" ht="14.25" customHeight="1">
      <c r="B68" s="13" t="s">
        <v>108</v>
      </c>
      <c r="C68" s="14">
        <v>41324.31</v>
      </c>
      <c r="D68" s="3">
        <v>6.75</v>
      </c>
      <c r="E68" s="3">
        <v>94.19</v>
      </c>
      <c r="F68" s="3">
        <v>35.89</v>
      </c>
      <c r="G68" s="3">
        <v>194.17</v>
      </c>
      <c r="H68" s="14">
        <v>2245.85</v>
      </c>
      <c r="I68" s="3">
        <v>947.44</v>
      </c>
      <c r="J68" s="3">
        <v>92.01</v>
      </c>
      <c r="K68" s="14">
        <v>2420</v>
      </c>
      <c r="L68" s="14"/>
      <c r="M68" s="14">
        <f t="shared" ref="M68:U68" si="63">C68/C69-1</f>
        <v>-6.3117358157680492E-2</v>
      </c>
      <c r="N68" s="14">
        <f t="shared" si="63"/>
        <v>0.14213197969543145</v>
      </c>
      <c r="O68" s="14">
        <f t="shared" si="63"/>
        <v>-6.222620469932294E-2</v>
      </c>
      <c r="P68" s="14">
        <f t="shared" si="63"/>
        <v>-5.9486373165618334E-2</v>
      </c>
      <c r="Q68" s="14">
        <f t="shared" si="63"/>
        <v>-9.2536336869654678E-2</v>
      </c>
      <c r="R68" s="14">
        <f t="shared" si="63"/>
        <v>-0.10493950166589616</v>
      </c>
      <c r="S68" s="14">
        <f t="shared" si="63"/>
        <v>-2.9759344598054183E-2</v>
      </c>
      <c r="T68" s="14">
        <f t="shared" si="63"/>
        <v>-4.4647492472225103E-2</v>
      </c>
      <c r="U68" s="14">
        <f t="shared" si="63"/>
        <v>-9.9333804756410737E-2</v>
      </c>
      <c r="AO68" s="34" t="s">
        <v>18</v>
      </c>
      <c r="AP68" s="23">
        <f>AQ58*AP63+AS58</f>
        <v>1.9769753867890705E-2</v>
      </c>
      <c r="AY68" s="6" t="s">
        <v>18</v>
      </c>
      <c r="AZ68" s="3">
        <f>BA58*AZ63+BC58</f>
        <v>0.45002321185153821</v>
      </c>
    </row>
    <row r="69" spans="2:53" ht="14.25" customHeight="1">
      <c r="B69" s="13" t="s">
        <v>109</v>
      </c>
      <c r="C69" s="14">
        <v>44108.31</v>
      </c>
      <c r="D69" s="3">
        <v>5.91</v>
      </c>
      <c r="E69" s="3">
        <v>100.44</v>
      </c>
      <c r="F69" s="3">
        <v>38.159999999999997</v>
      </c>
      <c r="G69" s="3">
        <v>213.97</v>
      </c>
      <c r="H69" s="14">
        <v>2509.16</v>
      </c>
      <c r="I69" s="3">
        <v>976.5</v>
      </c>
      <c r="J69" s="3">
        <v>96.31</v>
      </c>
      <c r="K69" s="14">
        <v>2686.9</v>
      </c>
      <c r="L69" s="14"/>
      <c r="M69" s="14">
        <f t="shared" ref="M69:U69" si="64">C69/C70-1</f>
        <v>1.3028863356898901E-2</v>
      </c>
      <c r="N69" s="14">
        <f t="shared" si="64"/>
        <v>5.1020408163264808E-3</v>
      </c>
      <c r="O69" s="14">
        <f t="shared" si="64"/>
        <v>8.7130641844355372E-2</v>
      </c>
      <c r="P69" s="14">
        <f t="shared" si="64"/>
        <v>-3.6606917445089704E-2</v>
      </c>
      <c r="Q69" s="14">
        <f t="shared" si="64"/>
        <v>8.2789332523657722E-2</v>
      </c>
      <c r="R69" s="14">
        <f t="shared" si="64"/>
        <v>-4.2305343511450433E-2</v>
      </c>
      <c r="S69" s="14">
        <f t="shared" si="64"/>
        <v>9.6919862505897347E-2</v>
      </c>
      <c r="T69" s="14">
        <f t="shared" si="64"/>
        <v>-7.3853255120684635E-2</v>
      </c>
      <c r="U69" s="14">
        <f t="shared" si="64"/>
        <v>8.7153550475419728E-2</v>
      </c>
      <c r="AO69" s="34" t="s">
        <v>19</v>
      </c>
      <c r="AP69" s="23">
        <f>AQ59*AP63+AS59</f>
        <v>0.67981150509446975</v>
      </c>
      <c r="AY69" s="33" t="s">
        <v>97</v>
      </c>
      <c r="AZ69" s="3">
        <f>BA59*AZ63+BC59</f>
        <v>0.13857993065766738</v>
      </c>
    </row>
    <row r="70" spans="2:53" ht="14.25" customHeight="1">
      <c r="B70" s="13" t="s">
        <v>110</v>
      </c>
      <c r="C70" s="14">
        <v>43541.02</v>
      </c>
      <c r="D70" s="3">
        <v>5.88</v>
      </c>
      <c r="E70" s="3">
        <v>92.39</v>
      </c>
      <c r="F70" s="3">
        <v>39.61</v>
      </c>
      <c r="G70" s="3">
        <v>197.61</v>
      </c>
      <c r="H70" s="14">
        <v>2620</v>
      </c>
      <c r="I70" s="3">
        <v>890.22</v>
      </c>
      <c r="J70" s="3">
        <v>103.99</v>
      </c>
      <c r="K70" s="14">
        <v>2471.5</v>
      </c>
      <c r="L70" s="14"/>
      <c r="M70" s="14">
        <f t="shared" ref="M70:U70" si="65">C70/C71-1</f>
        <v>1.6834118866384973E-2</v>
      </c>
      <c r="N70" s="14">
        <f t="shared" si="65"/>
        <v>8.4870848708487046E-2</v>
      </c>
      <c r="O70" s="14">
        <f t="shared" si="65"/>
        <v>2.6099511328298464E-2</v>
      </c>
      <c r="P70" s="14">
        <f t="shared" si="65"/>
        <v>-2.2670025188917808E-3</v>
      </c>
      <c r="Q70" s="14">
        <f t="shared" si="65"/>
        <v>1.6094199917729535E-2</v>
      </c>
      <c r="R70" s="14">
        <f t="shared" si="65"/>
        <v>1.5090757637395535E-2</v>
      </c>
      <c r="S70" s="14">
        <f t="shared" si="65"/>
        <v>-6.3911671924290148E-2</v>
      </c>
      <c r="T70" s="14">
        <f t="shared" si="65"/>
        <v>2.3120818575363966E-2</v>
      </c>
      <c r="U70" s="14">
        <f t="shared" si="65"/>
        <v>7.5500435161009571E-2</v>
      </c>
      <c r="AO70" s="35" t="s">
        <v>111</v>
      </c>
      <c r="AP70" s="3">
        <f>SUM(AP65:AP69)</f>
        <v>1</v>
      </c>
      <c r="AY70" s="4" t="s">
        <v>112</v>
      </c>
      <c r="AZ70" s="3">
        <f>SUM(AZ65:AZ69)</f>
        <v>1</v>
      </c>
    </row>
    <row r="71" spans="2:53" ht="14.25" customHeight="1">
      <c r="B71" s="13" t="s">
        <v>113</v>
      </c>
      <c r="C71" s="14">
        <v>42820.18</v>
      </c>
      <c r="D71" s="3">
        <v>5.42</v>
      </c>
      <c r="E71" s="3">
        <v>90.04</v>
      </c>
      <c r="F71" s="3">
        <v>39.700000000000003</v>
      </c>
      <c r="G71" s="3">
        <v>194.48</v>
      </c>
      <c r="H71" s="14">
        <v>2581.0500000000002</v>
      </c>
      <c r="I71" s="3">
        <v>951</v>
      </c>
      <c r="J71" s="3">
        <v>101.64</v>
      </c>
      <c r="K71" s="14">
        <v>2298</v>
      </c>
      <c r="L71" s="14"/>
      <c r="M71" s="14">
        <f t="shared" ref="M71:U71" si="66">C71/C72-1</f>
        <v>-1.1931990194123832E-2</v>
      </c>
      <c r="N71" s="14">
        <f t="shared" si="66"/>
        <v>7.753479125248508E-2</v>
      </c>
      <c r="O71" s="14">
        <f t="shared" si="66"/>
        <v>1.3621524259822326E-2</v>
      </c>
      <c r="P71" s="14">
        <f t="shared" si="66"/>
        <v>1.5605014070094736E-2</v>
      </c>
      <c r="Q71" s="14">
        <f t="shared" si="66"/>
        <v>-1.1286222674123048E-2</v>
      </c>
      <c r="R71" s="14">
        <f t="shared" si="66"/>
        <v>8.0389284219338775E-2</v>
      </c>
      <c r="S71" s="14">
        <f t="shared" si="66"/>
        <v>4.9668874172185351E-2</v>
      </c>
      <c r="T71" s="14">
        <f t="shared" si="66"/>
        <v>2.6770380846550257E-2</v>
      </c>
      <c r="U71" s="14">
        <f t="shared" si="66"/>
        <v>0.12097560975609767</v>
      </c>
    </row>
    <row r="72" spans="2:53" ht="14.25" customHeight="1">
      <c r="B72" s="13" t="s">
        <v>114</v>
      </c>
      <c r="C72" s="14">
        <v>43337.279999999999</v>
      </c>
      <c r="D72" s="3">
        <v>5.03</v>
      </c>
      <c r="E72" s="3">
        <v>88.83</v>
      </c>
      <c r="F72" s="3">
        <v>39.090000000000003</v>
      </c>
      <c r="G72" s="3">
        <v>196.7</v>
      </c>
      <c r="H72" s="14">
        <v>2389</v>
      </c>
      <c r="I72" s="3">
        <v>906</v>
      </c>
      <c r="J72" s="3">
        <v>98.99</v>
      </c>
      <c r="K72" s="14">
        <v>2050</v>
      </c>
      <c r="L72" s="14"/>
      <c r="M72" s="14">
        <f t="shared" ref="M72:U72" si="67">C72/C73-1</f>
        <v>7.5796413358639736E-3</v>
      </c>
      <c r="N72" s="14">
        <f t="shared" si="67"/>
        <v>0.15632183908045993</v>
      </c>
      <c r="O72" s="14">
        <f t="shared" si="67"/>
        <v>2.3387096774193594E-2</v>
      </c>
      <c r="P72" s="14">
        <f t="shared" si="67"/>
        <v>-1.1880687563195158E-2</v>
      </c>
      <c r="Q72" s="14">
        <f t="shared" si="67"/>
        <v>-8.3880583112104778E-2</v>
      </c>
      <c r="R72" s="14">
        <f t="shared" si="67"/>
        <v>2.4323941910670666E-2</v>
      </c>
      <c r="S72" s="14">
        <f t="shared" si="67"/>
        <v>0.11851851851851847</v>
      </c>
      <c r="T72" s="14">
        <f t="shared" si="67"/>
        <v>-6.9221508828251066E-3</v>
      </c>
      <c r="U72" s="14">
        <f t="shared" si="67"/>
        <v>-7.4909747292418727E-2</v>
      </c>
      <c r="AO72" s="48" t="s">
        <v>115</v>
      </c>
      <c r="AP72" s="49"/>
      <c r="AQ72" s="49"/>
      <c r="AR72" s="50"/>
      <c r="AY72" s="4" t="s">
        <v>116</v>
      </c>
    </row>
    <row r="73" spans="2:53" ht="14.25" customHeight="1">
      <c r="B73" s="13" t="s">
        <v>117</v>
      </c>
      <c r="C73" s="14">
        <v>43011.27</v>
      </c>
      <c r="D73" s="3">
        <v>4.3499999999999996</v>
      </c>
      <c r="E73" s="3">
        <v>86.8</v>
      </c>
      <c r="F73" s="3">
        <v>39.56</v>
      </c>
      <c r="G73" s="3">
        <v>214.71</v>
      </c>
      <c r="H73" s="14">
        <v>2332.27</v>
      </c>
      <c r="I73" s="3">
        <v>810</v>
      </c>
      <c r="J73" s="3">
        <v>99.68</v>
      </c>
      <c r="K73" s="14">
        <v>2216</v>
      </c>
      <c r="L73" s="14"/>
      <c r="M73" s="14">
        <f t="shared" ref="M73:U73" si="68">C73/C74-1</f>
        <v>9.1212387823331742E-3</v>
      </c>
      <c r="N73" s="14">
        <f t="shared" si="68"/>
        <v>3.8186157517899666E-2</v>
      </c>
      <c r="O73" s="14">
        <f t="shared" si="68"/>
        <v>-2.2632586420448186E-2</v>
      </c>
      <c r="P73" s="14">
        <f t="shared" si="68"/>
        <v>3.8592806510895139E-2</v>
      </c>
      <c r="Q73" s="14">
        <f t="shared" si="68"/>
        <v>-1.4956186631187696E-2</v>
      </c>
      <c r="R73" s="14">
        <f t="shared" si="68"/>
        <v>5.8006713845037083E-2</v>
      </c>
      <c r="S73" s="14">
        <f t="shared" si="68"/>
        <v>-2.5388039947058183E-2</v>
      </c>
      <c r="T73" s="14">
        <f t="shared" si="68"/>
        <v>6.8839802702123087E-2</v>
      </c>
      <c r="U73" s="14">
        <f t="shared" si="68"/>
        <v>-1.9469026548672552E-2</v>
      </c>
    </row>
    <row r="74" spans="2:53" ht="14.25" customHeight="1">
      <c r="B74" s="13" t="s">
        <v>118</v>
      </c>
      <c r="C74" s="14">
        <v>42622.5</v>
      </c>
      <c r="D74" s="3">
        <v>4.1900000000000004</v>
      </c>
      <c r="E74" s="3">
        <v>88.81</v>
      </c>
      <c r="F74" s="3">
        <v>38.090000000000003</v>
      </c>
      <c r="G74" s="3">
        <v>217.97</v>
      </c>
      <c r="H74" s="14">
        <v>2204.4</v>
      </c>
      <c r="I74" s="3">
        <v>831.1</v>
      </c>
      <c r="J74" s="3">
        <v>93.26</v>
      </c>
      <c r="K74" s="14">
        <v>2260</v>
      </c>
      <c r="L74" s="14"/>
      <c r="M74" s="14">
        <f t="shared" ref="M74:U74" si="69">C74/C75-1</f>
        <v>4.3056215278874044E-2</v>
      </c>
      <c r="N74" s="14">
        <f t="shared" si="69"/>
        <v>-7.1090047393362887E-3</v>
      </c>
      <c r="O74" s="14">
        <f t="shared" si="69"/>
        <v>-4.8532247696593145E-2</v>
      </c>
      <c r="P74" s="14">
        <f t="shared" si="69"/>
        <v>3.5335689045936425E-2</v>
      </c>
      <c r="Q74" s="14">
        <f t="shared" si="69"/>
        <v>3.4405846621108571E-2</v>
      </c>
      <c r="R74" s="14">
        <f t="shared" si="69"/>
        <v>4.7402005469463493E-3</v>
      </c>
      <c r="S74" s="14">
        <f t="shared" si="69"/>
        <v>-9.4159713945172197E-3</v>
      </c>
      <c r="T74" s="14">
        <f t="shared" si="69"/>
        <v>-2.5699958211449991E-2</v>
      </c>
      <c r="U74" s="14">
        <f t="shared" si="69"/>
        <v>0.10243902439024399</v>
      </c>
      <c r="AO74" s="44" t="s">
        <v>119</v>
      </c>
      <c r="AP74" s="42"/>
      <c r="AQ74" s="3">
        <f t="array" ref="AQ74:AQ78">MMULT(AP16:AT20,AP65:AP69)</f>
        <v>-8.0000409019685182E-4</v>
      </c>
      <c r="AY74" s="44" t="s">
        <v>119</v>
      </c>
      <c r="AZ74" s="42"/>
      <c r="BA74" s="3">
        <f t="array" ref="BA74:BA78">MMULT(AZ8:BD12,AZ65:AZ69)</f>
        <v>5.0480339360519846E-3</v>
      </c>
    </row>
    <row r="75" spans="2:53" ht="14.25" customHeight="1">
      <c r="B75" s="13" t="s">
        <v>120</v>
      </c>
      <c r="C75" s="14">
        <v>40863.089999999997</v>
      </c>
      <c r="D75" s="3">
        <v>4.22</v>
      </c>
      <c r="E75" s="3">
        <v>93.34</v>
      </c>
      <c r="F75" s="3">
        <v>36.79</v>
      </c>
      <c r="G75" s="3">
        <v>210.72</v>
      </c>
      <c r="H75" s="14">
        <v>2194</v>
      </c>
      <c r="I75" s="3">
        <v>839</v>
      </c>
      <c r="J75" s="3">
        <v>95.72</v>
      </c>
      <c r="K75" s="14">
        <v>2050</v>
      </c>
      <c r="L75" s="14"/>
      <c r="M75" s="14">
        <f t="shared" ref="M75:U75" si="70">C75/C76-1</f>
        <v>-5.3244154410086675E-2</v>
      </c>
      <c r="N75" s="14">
        <f t="shared" si="70"/>
        <v>2.6763990267639759E-2</v>
      </c>
      <c r="O75" s="14">
        <f t="shared" si="70"/>
        <v>-1.4152936206168198E-2</v>
      </c>
      <c r="P75" s="14">
        <f t="shared" si="70"/>
        <v>-1.0860711376594612E-3</v>
      </c>
      <c r="Q75" s="14">
        <f t="shared" si="70"/>
        <v>1.4735625541751007E-2</v>
      </c>
      <c r="R75" s="14">
        <f t="shared" si="70"/>
        <v>2.6192703461178635E-2</v>
      </c>
      <c r="S75" s="14">
        <f t="shared" si="70"/>
        <v>4.4831880448318762E-2</v>
      </c>
      <c r="T75" s="14">
        <f t="shared" si="70"/>
        <v>-8.4894837476099383E-2</v>
      </c>
      <c r="U75" s="14">
        <f t="shared" si="70"/>
        <v>-5.7614247033783372E-2</v>
      </c>
      <c r="AQ75" s="3">
        <v>1.4160829539132727E-3</v>
      </c>
      <c r="BA75" s="3">
        <v>3.3397049236234422E-3</v>
      </c>
    </row>
    <row r="76" spans="2:53" ht="14.25" customHeight="1">
      <c r="B76" s="13" t="s">
        <v>121</v>
      </c>
      <c r="C76" s="14">
        <v>43161.17</v>
      </c>
      <c r="D76" s="3">
        <v>4.1100000000000003</v>
      </c>
      <c r="E76" s="3">
        <v>94.68</v>
      </c>
      <c r="F76" s="3">
        <v>36.83</v>
      </c>
      <c r="G76" s="3">
        <v>207.66</v>
      </c>
      <c r="H76" s="14">
        <v>2138</v>
      </c>
      <c r="I76" s="3">
        <v>803</v>
      </c>
      <c r="J76" s="3">
        <v>104.6</v>
      </c>
      <c r="K76" s="14">
        <v>2175.33</v>
      </c>
      <c r="L76" s="14"/>
      <c r="M76" s="14">
        <f t="shared" ref="M76:U76" si="71">C76/C77-1</f>
        <v>9.6378501940153072E-3</v>
      </c>
      <c r="N76" s="14">
        <f t="shared" si="71"/>
        <v>0.21238938053097356</v>
      </c>
      <c r="O76" s="14">
        <f t="shared" si="71"/>
        <v>6.6816901408450757E-2</v>
      </c>
      <c r="P76" s="14">
        <f t="shared" si="71"/>
        <v>8.9322685595977447E-2</v>
      </c>
      <c r="Q76" s="14">
        <f t="shared" si="71"/>
        <v>4.73596610682403E-2</v>
      </c>
      <c r="R76" s="14">
        <f t="shared" si="71"/>
        <v>2.4191616766467083E-2</v>
      </c>
      <c r="S76" s="14">
        <f t="shared" si="71"/>
        <v>-0.13420380174021806</v>
      </c>
      <c r="T76" s="14">
        <f t="shared" si="71"/>
        <v>-9.3758878681694524E-3</v>
      </c>
      <c r="U76" s="14">
        <f t="shared" si="71"/>
        <v>-5.0074235807860301E-2</v>
      </c>
      <c r="AQ76" s="3">
        <v>4.5501781449938192E-3</v>
      </c>
      <c r="BA76" s="3">
        <v>9.2370517448653257E-4</v>
      </c>
    </row>
    <row r="77" spans="2:53" ht="14.25" customHeight="1">
      <c r="B77" s="13" t="s">
        <v>122</v>
      </c>
      <c r="C77" s="14">
        <v>42749.16</v>
      </c>
      <c r="D77" s="3">
        <v>3.39</v>
      </c>
      <c r="E77" s="3">
        <v>88.75</v>
      </c>
      <c r="F77" s="3">
        <v>33.81</v>
      </c>
      <c r="G77" s="3">
        <v>198.27</v>
      </c>
      <c r="H77" s="14">
        <v>2087.5</v>
      </c>
      <c r="I77" s="3">
        <v>927.47</v>
      </c>
      <c r="J77" s="3">
        <v>105.59</v>
      </c>
      <c r="K77" s="14">
        <v>2290</v>
      </c>
      <c r="L77" s="14"/>
      <c r="M77" s="14">
        <f t="shared" ref="M77:U77" si="72">C77/C78-1</f>
        <v>-4.1441055202420141E-2</v>
      </c>
      <c r="N77" s="14">
        <f t="shared" si="72"/>
        <v>-0.25165562913907291</v>
      </c>
      <c r="O77" s="14">
        <f t="shared" si="72"/>
        <v>-7.8687843870030139E-2</v>
      </c>
      <c r="P77" s="14">
        <f t="shared" si="72"/>
        <v>-1.3710618436406086E-2</v>
      </c>
      <c r="Q77" s="14">
        <f t="shared" si="72"/>
        <v>3.543048033608498E-3</v>
      </c>
      <c r="R77" s="14">
        <f t="shared" si="72"/>
        <v>-4.723870378822459E-2</v>
      </c>
      <c r="S77" s="14">
        <f t="shared" si="72"/>
        <v>0.10456488858718305</v>
      </c>
      <c r="T77" s="14">
        <f t="shared" si="72"/>
        <v>-6.952767007402183E-2</v>
      </c>
      <c r="U77" s="14">
        <f t="shared" si="72"/>
        <v>4.3859649122806044E-3</v>
      </c>
      <c r="AQ77" s="3">
        <v>3.8868422681150225E-3</v>
      </c>
      <c r="BA77" s="3">
        <v>1.4350550903070905E-3</v>
      </c>
    </row>
    <row r="78" spans="2:53" ht="14.25" customHeight="1">
      <c r="B78" s="13" t="s">
        <v>123</v>
      </c>
      <c r="C78" s="14">
        <v>44597.32</v>
      </c>
      <c r="D78" s="3">
        <v>4.53</v>
      </c>
      <c r="E78" s="3">
        <v>96.33</v>
      </c>
      <c r="F78" s="3">
        <v>34.28</v>
      </c>
      <c r="G78" s="3">
        <v>197.57</v>
      </c>
      <c r="H78" s="14">
        <v>2191</v>
      </c>
      <c r="I78" s="3">
        <v>839.67</v>
      </c>
      <c r="J78" s="3">
        <v>113.48</v>
      </c>
      <c r="K78" s="14">
        <v>2280</v>
      </c>
      <c r="L78" s="14"/>
      <c r="M78" s="14">
        <f t="shared" ref="M78:U78" si="73">C78/C79-1</f>
        <v>3.0406679284900928E-2</v>
      </c>
      <c r="N78" s="14">
        <f t="shared" si="73"/>
        <v>8.9086859688196629E-3</v>
      </c>
      <c r="O78" s="14">
        <f t="shared" si="73"/>
        <v>8.1873315363881316E-2</v>
      </c>
      <c r="P78" s="14">
        <f t="shared" si="73"/>
        <v>5.4444786219624897E-2</v>
      </c>
      <c r="Q78" s="14">
        <f t="shared" si="73"/>
        <v>4.0389678778304239E-2</v>
      </c>
      <c r="R78" s="14">
        <f t="shared" si="73"/>
        <v>0.11785714285714288</v>
      </c>
      <c r="S78" s="14">
        <f t="shared" si="73"/>
        <v>-6.3913043478260878E-2</v>
      </c>
      <c r="T78" s="14">
        <f t="shared" si="73"/>
        <v>3.6063179037706616E-2</v>
      </c>
      <c r="U78" s="14">
        <f t="shared" si="73"/>
        <v>-8.1015719467956493E-2</v>
      </c>
      <c r="AQ78" s="3">
        <v>3.6856414166265149E-3</v>
      </c>
      <c r="BA78" s="3">
        <v>1.8523748581872072E-3</v>
      </c>
    </row>
    <row r="79" spans="2:53" ht="14.25" customHeight="1">
      <c r="B79" s="13" t="s">
        <v>124</v>
      </c>
      <c r="C79" s="14">
        <v>43281.279999999999</v>
      </c>
      <c r="D79" s="3">
        <v>4.49</v>
      </c>
      <c r="E79" s="3">
        <v>89.04</v>
      </c>
      <c r="F79" s="3">
        <v>32.51</v>
      </c>
      <c r="G79" s="3">
        <v>189.9</v>
      </c>
      <c r="H79" s="14">
        <v>1960</v>
      </c>
      <c r="I79" s="3">
        <v>897</v>
      </c>
      <c r="J79" s="3">
        <v>109.53</v>
      </c>
      <c r="K79" s="14">
        <v>2481</v>
      </c>
      <c r="L79" s="14"/>
      <c r="M79" s="14">
        <f t="shared" ref="M79:U79" si="74">C79/C80-1</f>
        <v>1.0682608576864094E-2</v>
      </c>
      <c r="N79" s="14">
        <f t="shared" si="74"/>
        <v>0.16321243523316076</v>
      </c>
      <c r="O79" s="14">
        <f t="shared" si="74"/>
        <v>8.5986095865349554E-2</v>
      </c>
      <c r="P79" s="14">
        <f t="shared" si="74"/>
        <v>-1.4848484848484889E-2</v>
      </c>
      <c r="Q79" s="14">
        <f t="shared" si="74"/>
        <v>3.2963446475195779E-2</v>
      </c>
      <c r="R79" s="14">
        <f t="shared" si="74"/>
        <v>-2.7295285359801524E-2</v>
      </c>
      <c r="S79" s="14">
        <f t="shared" si="74"/>
        <v>2.8198074277854257E-2</v>
      </c>
      <c r="T79" s="14">
        <f t="shared" si="74"/>
        <v>-6.2564190345771986E-2</v>
      </c>
      <c r="U79" s="14">
        <f t="shared" si="74"/>
        <v>2.3933041960206403E-2</v>
      </c>
    </row>
    <row r="80" spans="2:53" ht="14.25" customHeight="1">
      <c r="B80" s="13" t="s">
        <v>125</v>
      </c>
      <c r="C80" s="14">
        <v>42823.81</v>
      </c>
      <c r="D80" s="3">
        <v>3.86</v>
      </c>
      <c r="E80" s="3">
        <v>81.99</v>
      </c>
      <c r="F80" s="3">
        <v>33</v>
      </c>
      <c r="G80" s="3">
        <v>183.84</v>
      </c>
      <c r="H80" s="14">
        <v>2015</v>
      </c>
      <c r="I80" s="3">
        <v>872.4</v>
      </c>
      <c r="J80" s="3">
        <v>116.84</v>
      </c>
      <c r="K80" s="14">
        <v>2423.0100000000002</v>
      </c>
      <c r="L80" s="14"/>
      <c r="M80" s="14">
        <f t="shared" ref="M80:U80" si="75">C80/C81-1</f>
        <v>-2.6464753748413838E-2</v>
      </c>
      <c r="N80" s="14">
        <f t="shared" si="75"/>
        <v>7.5208913649025044E-2</v>
      </c>
      <c r="O80" s="14">
        <f t="shared" si="75"/>
        <v>-4.5962299278566432E-2</v>
      </c>
      <c r="P80" s="14">
        <f t="shared" si="75"/>
        <v>3.3187226048841501E-2</v>
      </c>
      <c r="Q80" s="14">
        <f t="shared" si="75"/>
        <v>2.8302942163553002E-2</v>
      </c>
      <c r="R80" s="14">
        <f t="shared" si="75"/>
        <v>1.8705763397371067E-2</v>
      </c>
      <c r="S80" s="14">
        <f t="shared" si="75"/>
        <v>-5.8696590418644723E-2</v>
      </c>
      <c r="T80" s="14">
        <f t="shared" si="75"/>
        <v>5.1475881929445633E-2</v>
      </c>
      <c r="U80" s="14">
        <f t="shared" si="75"/>
        <v>6.0398249452954245E-2</v>
      </c>
      <c r="AO80" s="3" t="s">
        <v>126</v>
      </c>
      <c r="AP80" s="3">
        <f>SUMPRODUCT(AP65:AP69,AQ74:AQ78)</f>
        <v>2.5578848485182403E-3</v>
      </c>
      <c r="AX80" s="4" t="s">
        <v>127</v>
      </c>
      <c r="AY80" s="4" t="s">
        <v>126</v>
      </c>
      <c r="AZ80" s="3">
        <f>SUMPRODUCT(AZ65:AZ69,BA74:BA78)</f>
        <v>2.333834633427435E-3</v>
      </c>
    </row>
    <row r="81" spans="2:52" ht="14.25" customHeight="1">
      <c r="B81" s="13" t="s">
        <v>128</v>
      </c>
      <c r="C81" s="14">
        <v>43987.94</v>
      </c>
      <c r="D81" s="3">
        <v>3.59</v>
      </c>
      <c r="E81" s="3">
        <v>85.94</v>
      </c>
      <c r="F81" s="3">
        <v>31.94</v>
      </c>
      <c r="G81" s="3">
        <v>178.78</v>
      </c>
      <c r="H81" s="14">
        <v>1978</v>
      </c>
      <c r="I81" s="3">
        <v>926.8</v>
      </c>
      <c r="J81" s="3">
        <v>111.12</v>
      </c>
      <c r="K81" s="14">
        <v>2285</v>
      </c>
      <c r="L81" s="14"/>
      <c r="M81" s="14">
        <f t="shared" ref="M81:U81" si="76">C81/C82-1</f>
        <v>5.6379797729457781E-2</v>
      </c>
      <c r="N81" s="14">
        <f t="shared" si="76"/>
        <v>7.4850299401197695E-2</v>
      </c>
      <c r="O81" s="14">
        <f t="shared" si="76"/>
        <v>0.14434087882822899</v>
      </c>
      <c r="P81" s="14">
        <f t="shared" si="76"/>
        <v>2.8663446054750352E-2</v>
      </c>
      <c r="Q81" s="14">
        <f t="shared" si="76"/>
        <v>6.814214112744299E-3</v>
      </c>
      <c r="R81" s="14">
        <f t="shared" si="76"/>
        <v>3.4437674868603274E-2</v>
      </c>
      <c r="S81" s="14">
        <f t="shared" si="76"/>
        <v>3.553072625698328E-2</v>
      </c>
      <c r="T81" s="14">
        <f t="shared" si="76"/>
        <v>8.2724349605378666E-2</v>
      </c>
      <c r="U81" s="14">
        <f t="shared" si="76"/>
        <v>5.6349422821770467E-2</v>
      </c>
      <c r="AO81" s="3" t="s">
        <v>129</v>
      </c>
      <c r="AP81" s="3">
        <f>SQRT(AP80)</f>
        <v>5.0575536067532102E-2</v>
      </c>
      <c r="AY81" s="4" t="s">
        <v>129</v>
      </c>
      <c r="AZ81" s="4">
        <f>SQRT(AZ80)</f>
        <v>4.8309777824240042E-2</v>
      </c>
    </row>
    <row r="82" spans="2:52" ht="14.25" customHeight="1">
      <c r="B82" s="13" t="s">
        <v>130</v>
      </c>
      <c r="C82" s="14">
        <v>41640.269999999997</v>
      </c>
      <c r="D82" s="3">
        <v>3.34</v>
      </c>
      <c r="E82" s="3">
        <v>75.099999999999994</v>
      </c>
      <c r="F82" s="3">
        <v>31.05</v>
      </c>
      <c r="G82" s="3">
        <v>177.57</v>
      </c>
      <c r="H82" s="14">
        <v>1912.15</v>
      </c>
      <c r="I82" s="3">
        <v>895</v>
      </c>
      <c r="J82" s="3">
        <v>102.63</v>
      </c>
      <c r="K82" s="14">
        <v>2163.11</v>
      </c>
      <c r="L82" s="14"/>
      <c r="M82" s="14">
        <f t="shared" ref="M82:U82" si="77">C82/C83-1</f>
        <v>-2.2167226817864094E-3</v>
      </c>
      <c r="N82" s="14">
        <f t="shared" si="77"/>
        <v>-0.18337408312958436</v>
      </c>
      <c r="O82" s="14">
        <f t="shared" si="77"/>
        <v>-0.11134776949473446</v>
      </c>
      <c r="P82" s="14">
        <f t="shared" si="77"/>
        <v>-4.6082949308755672E-2</v>
      </c>
      <c r="Q82" s="14">
        <f t="shared" si="77"/>
        <v>-5.8034056548724178E-2</v>
      </c>
      <c r="R82" s="14">
        <f t="shared" si="77"/>
        <v>-0.13639545649572071</v>
      </c>
      <c r="S82" s="14">
        <f t="shared" si="77"/>
        <v>-8.8593576965669829E-3</v>
      </c>
      <c r="T82" s="14">
        <f t="shared" si="77"/>
        <v>-8.773333333333333E-2</v>
      </c>
      <c r="U82" s="14">
        <f t="shared" si="77"/>
        <v>-6.7025805366377589E-2</v>
      </c>
    </row>
    <row r="83" spans="2:52" ht="14.25" customHeight="1">
      <c r="B83" s="13" t="s">
        <v>131</v>
      </c>
      <c r="C83" s="14">
        <v>41732.78</v>
      </c>
      <c r="D83" s="3">
        <v>4.09</v>
      </c>
      <c r="E83" s="3">
        <v>84.51</v>
      </c>
      <c r="F83" s="3">
        <v>32.549999999999997</v>
      </c>
      <c r="G83" s="3">
        <v>188.51</v>
      </c>
      <c r="H83" s="14">
        <v>2214.15</v>
      </c>
      <c r="I83" s="3">
        <v>903</v>
      </c>
      <c r="J83" s="3">
        <v>112.5</v>
      </c>
      <c r="K83" s="14">
        <v>2318.5100000000002</v>
      </c>
      <c r="L83" s="14"/>
      <c r="M83" s="14">
        <f t="shared" ref="M83:U83" si="78">C83/C84-1</f>
        <v>-5.028770519689918E-2</v>
      </c>
      <c r="N83" s="14">
        <f t="shared" si="78"/>
        <v>-0.22390891840607208</v>
      </c>
      <c r="O83" s="14">
        <f t="shared" si="78"/>
        <v>5.7697121401752094E-2</v>
      </c>
      <c r="P83" s="14">
        <f t="shared" si="78"/>
        <v>-2.6323661381992269E-2</v>
      </c>
      <c r="Q83" s="14">
        <f t="shared" si="78"/>
        <v>6.5630299604296116E-2</v>
      </c>
      <c r="R83" s="14">
        <f t="shared" si="78"/>
        <v>-7.5526669654862877E-3</v>
      </c>
      <c r="S83" s="14">
        <f t="shared" si="78"/>
        <v>7.1174377224199281E-2</v>
      </c>
      <c r="T83" s="14">
        <f t="shared" si="78"/>
        <v>2.0963789817587841E-2</v>
      </c>
      <c r="U83" s="14">
        <f t="shared" si="78"/>
        <v>4.1928626961051041E-2</v>
      </c>
    </row>
    <row r="84" spans="2:52" ht="14.25" customHeight="1">
      <c r="B84" s="13" t="s">
        <v>132</v>
      </c>
      <c r="C84" s="14">
        <v>43942.55</v>
      </c>
      <c r="D84" s="3">
        <v>5.27</v>
      </c>
      <c r="E84" s="3">
        <v>79.900000000000006</v>
      </c>
      <c r="F84" s="3">
        <v>33.43</v>
      </c>
      <c r="G84" s="3">
        <v>176.9</v>
      </c>
      <c r="H84" s="14">
        <v>2231</v>
      </c>
      <c r="I84" s="3">
        <v>843</v>
      </c>
      <c r="J84" s="3">
        <v>110.19</v>
      </c>
      <c r="K84" s="14">
        <v>2225.21</v>
      </c>
      <c r="L84" s="14"/>
      <c r="M84" s="14">
        <f t="shared" ref="M84:U84" si="79">C84/C85-1</f>
        <v>-0.112346315945973</v>
      </c>
      <c r="N84" s="14">
        <f t="shared" si="79"/>
        <v>-0.25035561877667145</v>
      </c>
      <c r="O84" s="14">
        <f t="shared" si="79"/>
        <v>-0.20219670494258613</v>
      </c>
      <c r="P84" s="14">
        <f t="shared" si="79"/>
        <v>6.8051118210862516E-2</v>
      </c>
      <c r="Q84" s="14">
        <f t="shared" si="79"/>
        <v>5.7445155119851821E-2</v>
      </c>
      <c r="R84" s="14">
        <f t="shared" si="79"/>
        <v>5.0871408384361771E-2</v>
      </c>
      <c r="S84" s="14">
        <f t="shared" si="79"/>
        <v>-4.4217687074829981E-2</v>
      </c>
      <c r="T84" s="14">
        <f t="shared" si="79"/>
        <v>-6.2053115423902017E-2</v>
      </c>
      <c r="U84" s="14">
        <f t="shared" si="79"/>
        <v>0.10869684362621768</v>
      </c>
      <c r="AO84" s="3" t="s">
        <v>133</v>
      </c>
      <c r="AP84" s="3" t="s">
        <v>134</v>
      </c>
    </row>
    <row r="85" spans="2:52" ht="14.25" customHeight="1">
      <c r="B85" s="13" t="s">
        <v>135</v>
      </c>
      <c r="C85" s="14">
        <v>49504.160000000003</v>
      </c>
      <c r="D85" s="3">
        <v>7.03</v>
      </c>
      <c r="E85" s="3">
        <v>100.15</v>
      </c>
      <c r="F85" s="3">
        <v>31.3</v>
      </c>
      <c r="G85" s="3">
        <v>167.29</v>
      </c>
      <c r="H85" s="14">
        <v>2123</v>
      </c>
      <c r="I85" s="3">
        <v>882</v>
      </c>
      <c r="J85" s="3">
        <v>117.48</v>
      </c>
      <c r="K85" s="14">
        <v>2007.05</v>
      </c>
      <c r="L85" s="14"/>
      <c r="M85" s="14">
        <f t="shared" ref="M85:U85" si="80">C85/C86-1</f>
        <v>-8.7834586806079251E-4</v>
      </c>
      <c r="N85" s="14">
        <f t="shared" si="80"/>
        <v>1.4245014245015675E-3</v>
      </c>
      <c r="O85" s="14">
        <f t="shared" si="80"/>
        <v>-4.8688394276629188E-3</v>
      </c>
      <c r="P85" s="14">
        <f t="shared" si="80"/>
        <v>-2.0344287949921713E-2</v>
      </c>
      <c r="Q85" s="14">
        <f t="shared" si="80"/>
        <v>3.1190285397275419E-2</v>
      </c>
      <c r="R85" s="14">
        <f t="shared" si="80"/>
        <v>-2.5766927471720713E-2</v>
      </c>
      <c r="S85" s="14">
        <f t="shared" si="80"/>
        <v>-1.7817371937639215E-2</v>
      </c>
      <c r="T85" s="14">
        <f t="shared" si="80"/>
        <v>1.2784454103811349E-3</v>
      </c>
      <c r="U85" s="14">
        <f t="shared" si="80"/>
        <v>2.1720677085934614E-3</v>
      </c>
    </row>
    <row r="86" spans="2:52" ht="14.25" customHeight="1">
      <c r="B86" s="13" t="s">
        <v>136</v>
      </c>
      <c r="C86" s="14">
        <v>49547.68</v>
      </c>
      <c r="D86" s="3">
        <v>7.02</v>
      </c>
      <c r="E86" s="3">
        <v>100.64</v>
      </c>
      <c r="F86" s="3">
        <v>31.95</v>
      </c>
      <c r="G86" s="3">
        <v>162.22999999999999</v>
      </c>
      <c r="H86" s="14">
        <v>2179.15</v>
      </c>
      <c r="I86" s="3">
        <v>898</v>
      </c>
      <c r="J86" s="3">
        <v>117.33</v>
      </c>
      <c r="K86" s="14">
        <v>2002.7</v>
      </c>
      <c r="L86" s="14"/>
      <c r="M86" s="14">
        <f t="shared" ref="M86:U86" si="81">C86/C87-1</f>
        <v>-3.0248696074551829E-3</v>
      </c>
      <c r="N86" s="14">
        <f t="shared" si="81"/>
        <v>0.14705882352941169</v>
      </c>
      <c r="O86" s="14">
        <f t="shared" si="81"/>
        <v>0.13244064363677266</v>
      </c>
      <c r="P86" s="14">
        <f t="shared" si="81"/>
        <v>7.4310692669804945E-2</v>
      </c>
      <c r="Q86" s="14">
        <f t="shared" si="81"/>
        <v>2.9770217087723649E-2</v>
      </c>
      <c r="R86" s="14">
        <f t="shared" si="81"/>
        <v>1.8770453482936045E-2</v>
      </c>
      <c r="S86" s="14">
        <f t="shared" si="81"/>
        <v>-9.8393574297188757E-2</v>
      </c>
      <c r="T86" s="14">
        <f t="shared" si="81"/>
        <v>-0.11927638492718806</v>
      </c>
      <c r="U86" s="14">
        <f t="shared" si="81"/>
        <v>0.17963398184634771</v>
      </c>
    </row>
    <row r="87" spans="2:52" ht="14.25" customHeight="1">
      <c r="B87" s="13" t="s">
        <v>137</v>
      </c>
      <c r="C87" s="14">
        <v>49698.01</v>
      </c>
      <c r="D87" s="3">
        <v>6.12</v>
      </c>
      <c r="E87" s="3">
        <v>88.87</v>
      </c>
      <c r="F87" s="3">
        <v>29.74</v>
      </c>
      <c r="G87" s="3">
        <v>157.54</v>
      </c>
      <c r="H87" s="14">
        <v>2139</v>
      </c>
      <c r="I87" s="3">
        <v>996</v>
      </c>
      <c r="J87" s="3">
        <v>133.22</v>
      </c>
      <c r="K87" s="14">
        <v>1697.73</v>
      </c>
      <c r="L87" s="14"/>
      <c r="M87" s="14">
        <f t="shared" ref="M87:U87" si="82">C87/C88-1</f>
        <v>4.2691426509340547E-2</v>
      </c>
      <c r="N87" s="14">
        <f t="shared" si="82"/>
        <v>3.3783783783783772E-2</v>
      </c>
      <c r="O87" s="14">
        <f t="shared" si="82"/>
        <v>4.5652429697611518E-2</v>
      </c>
      <c r="P87" s="14">
        <f t="shared" si="82"/>
        <v>4.168126094570912E-2</v>
      </c>
      <c r="Q87" s="14">
        <f t="shared" si="82"/>
        <v>5.4247239772799993E-3</v>
      </c>
      <c r="R87" s="14">
        <f t="shared" si="82"/>
        <v>2.8355496581763617E-2</v>
      </c>
      <c r="S87" s="14">
        <f t="shared" si="82"/>
        <v>1.3946859411585022E-2</v>
      </c>
      <c r="T87" s="14">
        <f t="shared" si="82"/>
        <v>-4.5633641378322265E-2</v>
      </c>
      <c r="U87" s="14">
        <f t="shared" si="82"/>
        <v>-2.7590354544933859E-2</v>
      </c>
    </row>
    <row r="88" spans="2:52" ht="14.25" customHeight="1">
      <c r="B88" s="13" t="s">
        <v>138</v>
      </c>
      <c r="C88" s="14">
        <v>47663.199999999997</v>
      </c>
      <c r="D88" s="3">
        <v>5.92</v>
      </c>
      <c r="E88" s="3">
        <v>84.99</v>
      </c>
      <c r="F88" s="3">
        <v>28.55</v>
      </c>
      <c r="G88" s="3">
        <v>156.69</v>
      </c>
      <c r="H88" s="14">
        <v>2080.02</v>
      </c>
      <c r="I88" s="3">
        <v>982.3</v>
      </c>
      <c r="J88" s="3">
        <v>139.59</v>
      </c>
      <c r="K88" s="14">
        <v>1745.9</v>
      </c>
      <c r="L88" s="14"/>
      <c r="M88" s="14">
        <f t="shared" ref="M88:U88" si="83">C88/C89-1</f>
        <v>6.7184923386595541E-2</v>
      </c>
      <c r="N88" s="14">
        <f t="shared" si="83"/>
        <v>-6.0317460317460325E-2</v>
      </c>
      <c r="O88" s="14">
        <f t="shared" si="83"/>
        <v>4.307805596465375E-2</v>
      </c>
      <c r="P88" s="14">
        <f t="shared" si="83"/>
        <v>3.7804434750999594E-2</v>
      </c>
      <c r="Q88" s="14">
        <f t="shared" si="83"/>
        <v>-2.0748703206049601E-2</v>
      </c>
      <c r="R88" s="14">
        <f t="shared" si="83"/>
        <v>-2.8032579287012749E-2</v>
      </c>
      <c r="S88" s="14">
        <f t="shared" si="83"/>
        <v>-4.4455252918288002E-2</v>
      </c>
      <c r="T88" s="14">
        <f t="shared" si="83"/>
        <v>2.7908689248895335E-2</v>
      </c>
      <c r="U88" s="14">
        <f t="shared" si="83"/>
        <v>0.12566086395873644</v>
      </c>
    </row>
    <row r="89" spans="2:52" ht="14.25" customHeight="1">
      <c r="B89" s="13" t="s">
        <v>139</v>
      </c>
      <c r="C89" s="14">
        <v>44662.55</v>
      </c>
      <c r="D89" s="3">
        <v>6.3</v>
      </c>
      <c r="E89" s="3">
        <v>81.48</v>
      </c>
      <c r="F89" s="3">
        <v>27.51</v>
      </c>
      <c r="G89" s="3">
        <v>160.01</v>
      </c>
      <c r="H89" s="14">
        <v>2140.0100000000002</v>
      </c>
      <c r="I89" s="14">
        <v>1028</v>
      </c>
      <c r="J89" s="3">
        <v>135.80000000000001</v>
      </c>
      <c r="K89" s="14">
        <v>1551</v>
      </c>
      <c r="L89" s="14"/>
      <c r="M89" s="14">
        <f t="shared" ref="M89:U89" si="84">C89/C90-1</f>
        <v>-7.6421642179934079E-2</v>
      </c>
      <c r="N89" s="14">
        <f t="shared" si="84"/>
        <v>0.12099644128113884</v>
      </c>
      <c r="O89" s="14">
        <f t="shared" si="84"/>
        <v>4.0480143021325521E-2</v>
      </c>
      <c r="P89" s="14">
        <f t="shared" si="84"/>
        <v>-6.7141403865717098E-2</v>
      </c>
      <c r="Q89" s="14">
        <f t="shared" si="84"/>
        <v>-4.4374104156712946E-2</v>
      </c>
      <c r="R89" s="14">
        <f t="shared" si="84"/>
        <v>4.3398342272062518E-2</v>
      </c>
      <c r="S89" s="14">
        <f t="shared" si="84"/>
        <v>8.8867704692299432E-2</v>
      </c>
      <c r="T89" s="14">
        <f t="shared" si="84"/>
        <v>-8.6813260708761941E-2</v>
      </c>
      <c r="U89" s="14">
        <f t="shared" si="84"/>
        <v>1.7049180327868951E-2</v>
      </c>
    </row>
    <row r="90" spans="2:52" ht="14.25" customHeight="1">
      <c r="B90" s="13" t="s">
        <v>140</v>
      </c>
      <c r="C90" s="14">
        <v>48358.16</v>
      </c>
      <c r="D90" s="3">
        <v>5.62</v>
      </c>
      <c r="E90" s="3">
        <v>78.31</v>
      </c>
      <c r="F90" s="3">
        <v>29.49</v>
      </c>
      <c r="G90" s="3">
        <v>167.44</v>
      </c>
      <c r="H90" s="14">
        <v>2051</v>
      </c>
      <c r="I90" s="3">
        <v>944.1</v>
      </c>
      <c r="J90" s="3">
        <v>148.71</v>
      </c>
      <c r="K90" s="14">
        <v>1525</v>
      </c>
      <c r="L90" s="14"/>
      <c r="M90" s="14">
        <f t="shared" ref="M90:U90" si="85">C90/C91-1</f>
        <v>4.8418802445970188E-2</v>
      </c>
      <c r="N90" s="14">
        <f t="shared" si="85"/>
        <v>-2.9360967184801412E-2</v>
      </c>
      <c r="O90" s="14">
        <f t="shared" si="85"/>
        <v>8.2078209202708363E-2</v>
      </c>
      <c r="P90" s="14">
        <f t="shared" si="85"/>
        <v>-5.7316250842887051E-3</v>
      </c>
      <c r="Q90" s="14">
        <f t="shared" si="85"/>
        <v>7.0725156669650957E-2</v>
      </c>
      <c r="R90" s="14">
        <f t="shared" si="85"/>
        <v>3.5335689045936425E-2</v>
      </c>
      <c r="S90" s="14">
        <f t="shared" si="85"/>
        <v>0.13228591988486449</v>
      </c>
      <c r="T90" s="14">
        <f t="shared" si="85"/>
        <v>6.1153132581704073E-2</v>
      </c>
      <c r="U90" s="14">
        <f t="shared" si="85"/>
        <v>0.10028860028860032</v>
      </c>
    </row>
    <row r="91" spans="2:52" ht="14.25" customHeight="1">
      <c r="B91" s="13" t="s">
        <v>141</v>
      </c>
      <c r="C91" s="14">
        <v>46124.85</v>
      </c>
      <c r="D91" s="3">
        <v>5.79</v>
      </c>
      <c r="E91" s="3">
        <v>72.37</v>
      </c>
      <c r="F91" s="3">
        <v>29.66</v>
      </c>
      <c r="G91" s="3">
        <v>156.38</v>
      </c>
      <c r="H91" s="14">
        <v>1981</v>
      </c>
      <c r="I91" s="3">
        <v>833.8</v>
      </c>
      <c r="J91" s="3">
        <v>140.13999999999999</v>
      </c>
      <c r="K91" s="14">
        <v>1386</v>
      </c>
      <c r="L91" s="14"/>
      <c r="M91" s="14">
        <f t="shared" ref="M91:U91" si="86">C91/C92-1</f>
        <v>-2.7679959897069728E-2</v>
      </c>
      <c r="N91" s="14">
        <f t="shared" si="86"/>
        <v>-4.2975206611570171E-2</v>
      </c>
      <c r="O91" s="14">
        <f t="shared" si="86"/>
        <v>-4.2978048135413949E-2</v>
      </c>
      <c r="P91" s="14">
        <f t="shared" si="86"/>
        <v>-1.1333333333333306E-2</v>
      </c>
      <c r="Q91" s="14">
        <f t="shared" si="86"/>
        <v>-8.6217826803601794E-3</v>
      </c>
      <c r="R91" s="14">
        <f t="shared" si="86"/>
        <v>-9.6671226630187013E-2</v>
      </c>
      <c r="S91" s="14">
        <f t="shared" si="86"/>
        <v>-5.5548004168365805E-2</v>
      </c>
      <c r="T91" s="14">
        <f t="shared" si="86"/>
        <v>-8.7214225232853604E-2</v>
      </c>
      <c r="U91" s="14">
        <f t="shared" si="86"/>
        <v>-1.8246727489091619E-2</v>
      </c>
    </row>
    <row r="92" spans="2:52" ht="14.25" customHeight="1">
      <c r="B92" s="13" t="s">
        <v>142</v>
      </c>
      <c r="C92" s="14">
        <v>47437.93</v>
      </c>
      <c r="D92" s="3">
        <v>6.05</v>
      </c>
      <c r="E92" s="3">
        <v>75.62</v>
      </c>
      <c r="F92" s="3">
        <v>30</v>
      </c>
      <c r="G92" s="3">
        <v>157.74</v>
      </c>
      <c r="H92" s="14">
        <v>2193</v>
      </c>
      <c r="I92" s="3">
        <v>882.84</v>
      </c>
      <c r="J92" s="3">
        <v>153.53</v>
      </c>
      <c r="K92" s="14">
        <v>1411.76</v>
      </c>
      <c r="L92" s="14"/>
      <c r="M92" s="14">
        <f t="shared" ref="M92:U92" si="87">C92/C93-1</f>
        <v>-5.9819046907444551E-2</v>
      </c>
      <c r="N92" s="14">
        <f t="shared" si="87"/>
        <v>-1.4657980456026065E-2</v>
      </c>
      <c r="O92" s="14">
        <f t="shared" si="87"/>
        <v>4.2459332781913384E-2</v>
      </c>
      <c r="P92" s="14">
        <f t="shared" si="87"/>
        <v>-0.15564311849141577</v>
      </c>
      <c r="Q92" s="14">
        <f t="shared" si="87"/>
        <v>-7.8298469089634115E-2</v>
      </c>
      <c r="R92" s="14">
        <f t="shared" si="87"/>
        <v>1.3078085083776392E-2</v>
      </c>
      <c r="S92" s="14">
        <f t="shared" si="87"/>
        <v>3.3201867824499409E-2</v>
      </c>
      <c r="T92" s="14">
        <f t="shared" si="87"/>
        <v>-0.11095025768718514</v>
      </c>
      <c r="U92" s="14">
        <f t="shared" si="87"/>
        <v>-0.11387288316448863</v>
      </c>
    </row>
    <row r="93" spans="2:52" ht="14.25" customHeight="1">
      <c r="B93" s="13" t="s">
        <v>143</v>
      </c>
      <c r="C93" s="14">
        <v>50456.17</v>
      </c>
      <c r="D93" s="3">
        <v>6.14</v>
      </c>
      <c r="E93" s="3">
        <v>72.540000000000006</v>
      </c>
      <c r="F93" s="3">
        <v>35.53</v>
      </c>
      <c r="G93" s="3">
        <v>171.14</v>
      </c>
      <c r="H93" s="14">
        <v>2164.69</v>
      </c>
      <c r="I93" s="3">
        <v>854.47</v>
      </c>
      <c r="J93" s="3">
        <v>172.69</v>
      </c>
      <c r="K93" s="14">
        <v>1593.18</v>
      </c>
      <c r="L93" s="14"/>
      <c r="M93" s="14">
        <f t="shared" ref="M93:U93" si="88">C93/C94-1</f>
        <v>2.232322859837077E-2</v>
      </c>
      <c r="N93" s="14">
        <f t="shared" si="88"/>
        <v>0.26859504132231393</v>
      </c>
      <c r="O93" s="14">
        <f t="shared" si="88"/>
        <v>0.24063622370446391</v>
      </c>
      <c r="P93" s="14">
        <f t="shared" si="88"/>
        <v>7.9283110571081394E-2</v>
      </c>
      <c r="Q93" s="14">
        <f t="shared" si="88"/>
        <v>-5.6937020683245354E-3</v>
      </c>
      <c r="R93" s="14">
        <f t="shared" si="88"/>
        <v>2.3774841327645291E-2</v>
      </c>
      <c r="S93" s="14">
        <f t="shared" si="88"/>
        <v>2.2986579189962608E-2</v>
      </c>
      <c r="T93" s="14">
        <f t="shared" si="88"/>
        <v>4.1618915495506448E-2</v>
      </c>
      <c r="U93" s="14">
        <f t="shared" si="88"/>
        <v>-4.7596843615494877E-2</v>
      </c>
    </row>
    <row r="94" spans="2:52" ht="14.25" customHeight="1">
      <c r="B94" s="13" t="s">
        <v>144</v>
      </c>
      <c r="C94" s="14">
        <v>49354.42</v>
      </c>
      <c r="D94" s="3">
        <v>4.84</v>
      </c>
      <c r="E94" s="3">
        <v>58.47</v>
      </c>
      <c r="F94" s="3">
        <v>32.92</v>
      </c>
      <c r="G94" s="3">
        <v>172.12</v>
      </c>
      <c r="H94" s="14">
        <v>2114.42</v>
      </c>
      <c r="I94" s="3">
        <v>835.27</v>
      </c>
      <c r="J94" s="3">
        <v>165.79</v>
      </c>
      <c r="K94" s="14">
        <v>1672.8</v>
      </c>
      <c r="L94" s="14"/>
      <c r="M94" s="14">
        <f t="shared" ref="M94:U94" si="89">C94/C95-1</f>
        <v>4.8032762795896744E-2</v>
      </c>
      <c r="N94" s="14">
        <f t="shared" si="89"/>
        <v>-3.5856573705179251E-2</v>
      </c>
      <c r="O94" s="14">
        <f t="shared" si="89"/>
        <v>-6.2882392929980435E-3</v>
      </c>
      <c r="P94" s="14">
        <f t="shared" si="89"/>
        <v>1.5735883986424115E-2</v>
      </c>
      <c r="Q94" s="14">
        <f t="shared" si="89"/>
        <v>8.7224515903949751E-4</v>
      </c>
      <c r="R94" s="14">
        <f t="shared" si="89"/>
        <v>6.9558047660237543E-2</v>
      </c>
      <c r="S94" s="14">
        <f t="shared" si="89"/>
        <v>-1.0238058560746999E-2</v>
      </c>
      <c r="T94" s="14">
        <f t="shared" si="89"/>
        <v>7.0027107267329303E-2</v>
      </c>
      <c r="U94" s="14">
        <f t="shared" si="89"/>
        <v>5.3665910808768036E-2</v>
      </c>
    </row>
    <row r="95" spans="2:52" ht="14.25" customHeight="1">
      <c r="B95" s="13" t="s">
        <v>145</v>
      </c>
      <c r="C95" s="14">
        <v>47092.44</v>
      </c>
      <c r="D95" s="3">
        <v>5.0199999999999996</v>
      </c>
      <c r="E95" s="3">
        <v>58.84</v>
      </c>
      <c r="F95" s="3">
        <v>32.409999999999997</v>
      </c>
      <c r="G95" s="3">
        <v>171.97</v>
      </c>
      <c r="H95" s="14">
        <v>1976.91</v>
      </c>
      <c r="I95" s="3">
        <v>843.91</v>
      </c>
      <c r="J95" s="3">
        <v>154.94</v>
      </c>
      <c r="K95" s="14">
        <v>1587.6</v>
      </c>
      <c r="L95" s="14"/>
      <c r="M95" s="14">
        <f t="shared" ref="M95:U95" si="90">C95/C96-1</f>
        <v>-3.1528499535120713E-2</v>
      </c>
      <c r="N95" s="14">
        <f t="shared" si="90"/>
        <v>-2.9013539651837617E-2</v>
      </c>
      <c r="O95" s="14">
        <f t="shared" si="90"/>
        <v>6.4784654361201621E-2</v>
      </c>
      <c r="P95" s="14">
        <f t="shared" si="90"/>
        <v>0.11374570446735377</v>
      </c>
      <c r="Q95" s="14">
        <f t="shared" si="90"/>
        <v>3.0315739021029353E-2</v>
      </c>
      <c r="R95" s="14">
        <f t="shared" si="90"/>
        <v>2.165891472868231E-2</v>
      </c>
      <c r="S95" s="14">
        <f t="shared" si="90"/>
        <v>-5.2818837895776571E-2</v>
      </c>
      <c r="T95" s="14">
        <f t="shared" si="90"/>
        <v>-5.8744912216754819E-2</v>
      </c>
      <c r="U95" s="14">
        <f t="shared" si="90"/>
        <v>-1.6295929115806573E-2</v>
      </c>
    </row>
    <row r="96" spans="2:52" ht="14.25" customHeight="1">
      <c r="B96" s="13" t="s">
        <v>146</v>
      </c>
      <c r="C96" s="14">
        <v>48625.53</v>
      </c>
      <c r="D96" s="3">
        <v>5.17</v>
      </c>
      <c r="E96" s="3">
        <v>55.26</v>
      </c>
      <c r="F96" s="3">
        <v>29.1</v>
      </c>
      <c r="G96" s="3">
        <v>166.91</v>
      </c>
      <c r="H96" s="14">
        <v>1935</v>
      </c>
      <c r="I96" s="3">
        <v>890.97</v>
      </c>
      <c r="J96" s="3">
        <v>164.61</v>
      </c>
      <c r="K96" s="14">
        <v>1613.9</v>
      </c>
      <c r="L96" s="14"/>
      <c r="M96" s="14">
        <f t="shared" ref="M96:U96" si="91">C96/C97-1</f>
        <v>-3.417407439628839E-2</v>
      </c>
      <c r="N96" s="14">
        <f t="shared" si="91"/>
        <v>0.15659955257270708</v>
      </c>
      <c r="O96" s="14">
        <f t="shared" si="91"/>
        <v>0.14957353858955691</v>
      </c>
      <c r="P96" s="14">
        <f t="shared" si="91"/>
        <v>0.11708253358925136</v>
      </c>
      <c r="Q96" s="14">
        <f t="shared" si="91"/>
        <v>6.5292315547612834E-2</v>
      </c>
      <c r="R96" s="14">
        <f t="shared" si="91"/>
        <v>0.11189642986433146</v>
      </c>
      <c r="S96" s="14">
        <f t="shared" si="91"/>
        <v>-4.8708613160507785E-2</v>
      </c>
      <c r="T96" s="14">
        <f t="shared" si="91"/>
        <v>3.3463083877448563E-2</v>
      </c>
      <c r="U96" s="14">
        <f t="shared" si="91"/>
        <v>5.3047109487146082E-2</v>
      </c>
    </row>
    <row r="97" spans="2:21" ht="14.25" customHeight="1">
      <c r="B97" s="13" t="s">
        <v>147</v>
      </c>
      <c r="C97" s="14">
        <v>50346.06</v>
      </c>
      <c r="D97" s="3">
        <v>4.47</v>
      </c>
      <c r="E97" s="3">
        <v>48.07</v>
      </c>
      <c r="F97" s="3">
        <v>26.05</v>
      </c>
      <c r="G97" s="3">
        <v>156.68</v>
      </c>
      <c r="H97" s="14">
        <v>1740.27</v>
      </c>
      <c r="I97" s="3">
        <v>936.59</v>
      </c>
      <c r="J97" s="3">
        <v>159.28</v>
      </c>
      <c r="K97" s="14">
        <v>1532.6</v>
      </c>
      <c r="L97" s="14"/>
      <c r="M97" s="14">
        <f t="shared" ref="M97:U97" si="92">C97/C98-1</f>
        <v>-1.6879748051570775E-2</v>
      </c>
      <c r="N97" s="14">
        <f t="shared" si="92"/>
        <v>5.4245283018867774E-2</v>
      </c>
      <c r="O97" s="14">
        <f t="shared" si="92"/>
        <v>-1.9579849071996724E-2</v>
      </c>
      <c r="P97" s="14">
        <f t="shared" si="92"/>
        <v>1.1529592621060125E-3</v>
      </c>
      <c r="Q97" s="14">
        <f t="shared" si="92"/>
        <v>-2.0566356191785928E-2</v>
      </c>
      <c r="R97" s="14">
        <f t="shared" si="92"/>
        <v>7.1594827586206833E-2</v>
      </c>
      <c r="S97" s="14">
        <f t="shared" si="92"/>
        <v>-6.4952827834073745E-2</v>
      </c>
      <c r="T97" s="14">
        <f t="shared" si="92"/>
        <v>3.1339031339031376E-2</v>
      </c>
      <c r="U97" s="14">
        <f t="shared" si="92"/>
        <v>9.2653852734842834E-2</v>
      </c>
    </row>
    <row r="98" spans="2:21" ht="14.25" customHeight="1">
      <c r="B98" s="13" t="s">
        <v>148</v>
      </c>
      <c r="C98" s="14">
        <v>51210.48</v>
      </c>
      <c r="D98" s="3">
        <v>4.24</v>
      </c>
      <c r="E98" s="3">
        <v>49.03</v>
      </c>
      <c r="F98" s="3">
        <v>26.02</v>
      </c>
      <c r="G98" s="3">
        <v>159.97</v>
      </c>
      <c r="H98" s="14">
        <v>1624</v>
      </c>
      <c r="I98" s="14">
        <v>1001.65</v>
      </c>
      <c r="J98" s="3">
        <v>154.44</v>
      </c>
      <c r="K98" s="14">
        <v>1402.64</v>
      </c>
      <c r="L98" s="14"/>
      <c r="M98" s="14">
        <f t="shared" ref="M98:U98" si="93">C98/C99-1</f>
        <v>3.8934075539673874E-3</v>
      </c>
      <c r="N98" s="14">
        <f t="shared" si="93"/>
        <v>4.4334975369458185E-2</v>
      </c>
      <c r="O98" s="14">
        <f t="shared" si="93"/>
        <v>-7.2889248835796838E-3</v>
      </c>
      <c r="P98" s="14">
        <f t="shared" si="93"/>
        <v>-2.4006001500375129E-2</v>
      </c>
      <c r="Q98" s="14">
        <f t="shared" si="93"/>
        <v>3.1133170039963964E-2</v>
      </c>
      <c r="R98" s="14">
        <f t="shared" si="93"/>
        <v>-1.1949088608211089E-2</v>
      </c>
      <c r="S98" s="14">
        <f t="shared" si="93"/>
        <v>8.071414912995678E-3</v>
      </c>
      <c r="T98" s="14">
        <f t="shared" si="93"/>
        <v>-2.1850655519665474E-2</v>
      </c>
      <c r="U98" s="14">
        <f t="shared" si="93"/>
        <v>-5.8630872483221408E-2</v>
      </c>
    </row>
    <row r="99" spans="2:21" ht="14.25" customHeight="1">
      <c r="B99" s="13" t="s">
        <v>149</v>
      </c>
      <c r="C99" s="14">
        <v>51011.87</v>
      </c>
      <c r="D99" s="3">
        <v>4.0599999999999996</v>
      </c>
      <c r="E99" s="3">
        <v>49.39</v>
      </c>
      <c r="F99" s="3">
        <v>26.66</v>
      </c>
      <c r="G99" s="3">
        <v>155.13999999999999</v>
      </c>
      <c r="H99" s="14">
        <v>1643.64</v>
      </c>
      <c r="I99" s="3">
        <v>993.63</v>
      </c>
      <c r="J99" s="3">
        <v>157.88999999999999</v>
      </c>
      <c r="K99" s="14">
        <v>1490</v>
      </c>
      <c r="L99" s="14"/>
      <c r="M99" s="14">
        <f t="shared" ref="M99:U99" si="94">C99/C100-1</f>
        <v>2.3153592368970077E-2</v>
      </c>
      <c r="N99" s="14">
        <f t="shared" si="94"/>
        <v>0.12465373961218829</v>
      </c>
      <c r="O99" s="14">
        <f t="shared" si="94"/>
        <v>2.0454545454545503E-2</v>
      </c>
      <c r="P99" s="14">
        <f t="shared" si="94"/>
        <v>5.6678557273087682E-2</v>
      </c>
      <c r="Q99" s="14">
        <f t="shared" si="94"/>
        <v>1.2927657351788913E-2</v>
      </c>
      <c r="R99" s="14">
        <f t="shared" si="94"/>
        <v>-6.6839910557804361E-3</v>
      </c>
      <c r="S99" s="14">
        <f t="shared" si="94"/>
        <v>-8.1850214108182273E-3</v>
      </c>
      <c r="T99" s="14">
        <f t="shared" si="94"/>
        <v>5.8882704043994094E-2</v>
      </c>
      <c r="U99" s="14">
        <f t="shared" si="94"/>
        <v>0</v>
      </c>
    </row>
    <row r="100" spans="2:21" ht="14.25" customHeight="1">
      <c r="B100" s="13" t="s">
        <v>150</v>
      </c>
      <c r="C100" s="14">
        <v>49857.49</v>
      </c>
      <c r="D100" s="3">
        <v>3.61</v>
      </c>
      <c r="E100" s="3">
        <v>48.4</v>
      </c>
      <c r="F100" s="3">
        <v>25.23</v>
      </c>
      <c r="G100" s="3">
        <v>153.16</v>
      </c>
      <c r="H100" s="14">
        <v>1654.7</v>
      </c>
      <c r="I100" s="14">
        <v>1001.83</v>
      </c>
      <c r="J100" s="3">
        <v>149.11000000000001</v>
      </c>
      <c r="K100" s="14">
        <v>1490</v>
      </c>
      <c r="L100" s="14"/>
      <c r="M100" s="14">
        <f t="shared" ref="M100:U100" si="95">C100/C101-1</f>
        <v>2.191195291343595E-2</v>
      </c>
      <c r="N100" s="14">
        <f t="shared" si="95"/>
        <v>0</v>
      </c>
      <c r="O100" s="14">
        <f t="shared" si="95"/>
        <v>-2.6744419867283264E-2</v>
      </c>
      <c r="P100" s="14">
        <f t="shared" si="95"/>
        <v>-3.702290076335879E-2</v>
      </c>
      <c r="Q100" s="14">
        <f t="shared" si="95"/>
        <v>1.5044071840413675E-2</v>
      </c>
      <c r="R100" s="14">
        <f t="shared" si="95"/>
        <v>8.3919061437583098E-2</v>
      </c>
      <c r="S100" s="14">
        <f t="shared" si="95"/>
        <v>0.28862677505659606</v>
      </c>
      <c r="T100" s="14">
        <f t="shared" si="95"/>
        <v>-1.8819503849443864E-2</v>
      </c>
      <c r="U100" s="14">
        <f t="shared" si="95"/>
        <v>3.0713890426120605E-2</v>
      </c>
    </row>
    <row r="101" spans="2:21" ht="14.25" customHeight="1">
      <c r="B101" s="13" t="s">
        <v>151</v>
      </c>
      <c r="C101" s="14">
        <v>48788.44</v>
      </c>
      <c r="D101" s="3">
        <v>3.61</v>
      </c>
      <c r="E101" s="3">
        <v>49.73</v>
      </c>
      <c r="F101" s="3">
        <v>26.2</v>
      </c>
      <c r="G101" s="3">
        <v>150.88999999999999</v>
      </c>
      <c r="H101" s="14">
        <v>1526.59</v>
      </c>
      <c r="I101" s="3">
        <v>777.44</v>
      </c>
      <c r="J101" s="3">
        <v>151.97</v>
      </c>
      <c r="K101" s="14">
        <v>1445.6</v>
      </c>
      <c r="L101" s="14"/>
      <c r="M101" s="14">
        <f t="shared" ref="M101:U101" si="96">C101/C102-1</f>
        <v>-9.5996190115045232E-3</v>
      </c>
      <c r="N101" s="14">
        <f t="shared" si="96"/>
        <v>0.3831417624521074</v>
      </c>
      <c r="O101" s="14">
        <f t="shared" si="96"/>
        <v>7.5243243243243274E-2</v>
      </c>
      <c r="P101" s="14">
        <f t="shared" si="96"/>
        <v>4.5490822027134836E-2</v>
      </c>
      <c r="Q101" s="14">
        <f t="shared" si="96"/>
        <v>7.8324876724076065E-2</v>
      </c>
      <c r="R101" s="14">
        <f t="shared" si="96"/>
        <v>-7.1981762917933234E-2</v>
      </c>
      <c r="S101" s="14">
        <f t="shared" si="96"/>
        <v>1.0896419005019364E-2</v>
      </c>
      <c r="T101" s="14">
        <f t="shared" si="96"/>
        <v>3.3387732898136901E-2</v>
      </c>
      <c r="U101" s="14">
        <f t="shared" si="96"/>
        <v>-6.5274320261226593E-2</v>
      </c>
    </row>
    <row r="102" spans="2:21" ht="14.25" customHeight="1">
      <c r="B102" s="13" t="s">
        <v>152</v>
      </c>
      <c r="C102" s="14">
        <v>49261.33</v>
      </c>
      <c r="D102" s="3">
        <v>2.61</v>
      </c>
      <c r="E102" s="3">
        <v>46.25</v>
      </c>
      <c r="F102" s="3">
        <v>25.06</v>
      </c>
      <c r="G102" s="3">
        <v>139.93</v>
      </c>
      <c r="H102" s="14">
        <v>1645</v>
      </c>
      <c r="I102" s="3">
        <v>769.06</v>
      </c>
      <c r="J102" s="3">
        <v>147.06</v>
      </c>
      <c r="K102" s="14">
        <v>1546.55</v>
      </c>
      <c r="L102" s="14"/>
      <c r="M102" s="14">
        <f t="shared" ref="M102:U102" si="97">C102/C103-1</f>
        <v>1.4827912411550015E-2</v>
      </c>
      <c r="N102" s="14">
        <f t="shared" si="97"/>
        <v>-4.0441176470588314E-2</v>
      </c>
      <c r="O102" s="14">
        <f t="shared" si="97"/>
        <v>4.3311527182494869E-2</v>
      </c>
      <c r="P102" s="14">
        <f t="shared" si="97"/>
        <v>4.286308780690784E-2</v>
      </c>
      <c r="Q102" s="14">
        <f t="shared" si="97"/>
        <v>7.962348584214185E-2</v>
      </c>
      <c r="R102" s="14">
        <f t="shared" si="97"/>
        <v>-3.1511331959762634E-3</v>
      </c>
      <c r="S102" s="14">
        <f t="shared" si="97"/>
        <v>5.6299531638441147E-2</v>
      </c>
      <c r="T102" s="14">
        <f t="shared" si="97"/>
        <v>6.4109985528220115E-2</v>
      </c>
      <c r="U102" s="14">
        <f t="shared" si="97"/>
        <v>-2.1170886075949413E-2</v>
      </c>
    </row>
    <row r="103" spans="2:21" ht="14.25" customHeight="1">
      <c r="B103" s="13" t="s">
        <v>153</v>
      </c>
      <c r="C103" s="14">
        <v>48541.56</v>
      </c>
      <c r="D103" s="3">
        <v>2.72</v>
      </c>
      <c r="E103" s="3">
        <v>44.33</v>
      </c>
      <c r="F103" s="3">
        <v>24.03</v>
      </c>
      <c r="G103" s="3">
        <v>129.61000000000001</v>
      </c>
      <c r="H103" s="14">
        <v>1650.2</v>
      </c>
      <c r="I103" s="3">
        <v>728.07</v>
      </c>
      <c r="J103" s="3">
        <v>138.19999999999999</v>
      </c>
      <c r="K103" s="14">
        <v>1580</v>
      </c>
      <c r="L103" s="14"/>
      <c r="M103" s="14">
        <f t="shared" ref="M103:U103" si="98">C103/C104-1</f>
        <v>3.5955728081245031E-2</v>
      </c>
      <c r="N103" s="14">
        <f t="shared" si="98"/>
        <v>7.0866141732283561E-2</v>
      </c>
      <c r="O103" s="14">
        <f t="shared" si="98"/>
        <v>4.9230769230769189E-2</v>
      </c>
      <c r="P103" s="14">
        <f t="shared" si="98"/>
        <v>1.6497461928933976E-2</v>
      </c>
      <c r="Q103" s="14">
        <f t="shared" si="98"/>
        <v>1.5354484919702482E-2</v>
      </c>
      <c r="R103" s="14">
        <f t="shared" si="98"/>
        <v>-9.3296703296703254E-2</v>
      </c>
      <c r="S103" s="14">
        <f t="shared" si="98"/>
        <v>1.3658006849887272E-2</v>
      </c>
      <c r="T103" s="14">
        <f t="shared" si="98"/>
        <v>9.1023920423146665E-2</v>
      </c>
      <c r="U103" s="14">
        <f t="shared" si="98"/>
        <v>-4.2424242424242475E-2</v>
      </c>
    </row>
    <row r="104" spans="2:21" ht="14.25" customHeight="1">
      <c r="B104" s="13" t="s">
        <v>154</v>
      </c>
      <c r="C104" s="14">
        <v>46856.79</v>
      </c>
      <c r="D104" s="3">
        <v>2.54</v>
      </c>
      <c r="E104" s="3">
        <v>42.25</v>
      </c>
      <c r="F104" s="3">
        <v>23.64</v>
      </c>
      <c r="G104" s="3">
        <v>127.65</v>
      </c>
      <c r="H104" s="14">
        <v>1820</v>
      </c>
      <c r="I104" s="3">
        <v>718.26</v>
      </c>
      <c r="J104" s="3">
        <v>126.67</v>
      </c>
      <c r="K104" s="14">
        <v>1650</v>
      </c>
      <c r="L104" s="14"/>
      <c r="M104" s="14">
        <f t="shared" ref="M104:U104" si="99">C104/C105-1</f>
        <v>-3.0695052409455137E-3</v>
      </c>
      <c r="N104" s="14">
        <f t="shared" si="99"/>
        <v>-6.9597069597069572E-2</v>
      </c>
      <c r="O104" s="14">
        <f t="shared" si="99"/>
        <v>2.6232693709011379E-2</v>
      </c>
      <c r="P104" s="14">
        <f t="shared" si="99"/>
        <v>6.2471910112359641E-2</v>
      </c>
      <c r="Q104" s="14">
        <f t="shared" si="99"/>
        <v>4.1445704495390423E-2</v>
      </c>
      <c r="R104" s="14">
        <f t="shared" si="99"/>
        <v>3.2917139614074831E-2</v>
      </c>
      <c r="S104" s="14">
        <f t="shared" si="99"/>
        <v>0.10165956010920585</v>
      </c>
      <c r="T104" s="14">
        <f t="shared" si="99"/>
        <v>-8.7260412163135848E-2</v>
      </c>
      <c r="U104" s="14">
        <f t="shared" si="99"/>
        <v>4.0943789035392086E-2</v>
      </c>
    </row>
    <row r="105" spans="2:21" ht="14.25" customHeight="1">
      <c r="B105" s="13" t="s">
        <v>155</v>
      </c>
      <c r="C105" s="14">
        <v>47001.06</v>
      </c>
      <c r="D105" s="3">
        <v>2.73</v>
      </c>
      <c r="E105" s="3">
        <v>41.17</v>
      </c>
      <c r="F105" s="3">
        <v>22.25</v>
      </c>
      <c r="G105" s="3">
        <v>122.57</v>
      </c>
      <c r="H105" s="14">
        <v>1762</v>
      </c>
      <c r="I105" s="3">
        <v>651.98</v>
      </c>
      <c r="J105" s="3">
        <v>138.78</v>
      </c>
      <c r="K105" s="14">
        <v>1585.1</v>
      </c>
      <c r="L105" s="14"/>
      <c r="M105" s="14">
        <f t="shared" ref="M105:U105" si="100">C105/C106-1</f>
        <v>2.9756216191346274E-2</v>
      </c>
      <c r="N105" s="14">
        <f t="shared" si="100"/>
        <v>2.2471910112359605E-2</v>
      </c>
      <c r="O105" s="14">
        <f t="shared" si="100"/>
        <v>9.8159509202453865E-2</v>
      </c>
      <c r="P105" s="14">
        <f t="shared" si="100"/>
        <v>-3.428819444444442E-2</v>
      </c>
      <c r="Q105" s="14">
        <f t="shared" si="100"/>
        <v>6.9832402234637492E-3</v>
      </c>
      <c r="R105" s="14">
        <f t="shared" si="100"/>
        <v>-2.2650056625141968E-3</v>
      </c>
      <c r="S105" s="14">
        <f t="shared" si="100"/>
        <v>-0.10778115335139715</v>
      </c>
      <c r="T105" s="14">
        <f t="shared" si="100"/>
        <v>2.7315123251165918E-2</v>
      </c>
      <c r="U105" s="14">
        <f t="shared" si="100"/>
        <v>4.6961690885072516E-2</v>
      </c>
    </row>
    <row r="106" spans="2:21" ht="14.25" customHeight="1">
      <c r="B106" s="13" t="s">
        <v>156</v>
      </c>
      <c r="C106" s="14">
        <v>45642.9</v>
      </c>
      <c r="D106" s="3">
        <v>2.67</v>
      </c>
      <c r="E106" s="3">
        <v>37.49</v>
      </c>
      <c r="F106" s="3">
        <v>23.04</v>
      </c>
      <c r="G106" s="3">
        <v>121.72</v>
      </c>
      <c r="H106" s="14">
        <v>1766</v>
      </c>
      <c r="I106" s="3">
        <v>730.74</v>
      </c>
      <c r="J106" s="3">
        <v>135.09</v>
      </c>
      <c r="K106" s="14">
        <v>1514</v>
      </c>
      <c r="L106" s="14"/>
      <c r="M106" s="14">
        <f t="shared" ref="M106:U106" si="101">C106/C107-1</f>
        <v>7.2146766834466636E-3</v>
      </c>
      <c r="N106" s="14">
        <f t="shared" si="101"/>
        <v>0.1558441558441559</v>
      </c>
      <c r="O106" s="14">
        <f t="shared" si="101"/>
        <v>-1.0658140154542473E-3</v>
      </c>
      <c r="P106" s="14">
        <f t="shared" si="101"/>
        <v>-1.8739352640545159E-2</v>
      </c>
      <c r="Q106" s="14">
        <f t="shared" si="101"/>
        <v>2.0541628238450516E-2</v>
      </c>
      <c r="R106" s="14">
        <f t="shared" si="101"/>
        <v>6.9330911292764252E-2</v>
      </c>
      <c r="S106" s="14">
        <f t="shared" si="101"/>
        <v>3.0154366673715405E-2</v>
      </c>
      <c r="T106" s="14">
        <f t="shared" si="101"/>
        <v>0.10358630830814475</v>
      </c>
      <c r="U106" s="14">
        <f t="shared" si="101"/>
        <v>9.1958168049044442E-2</v>
      </c>
    </row>
    <row r="107" spans="2:21" ht="14.25" customHeight="1">
      <c r="B107" s="13" t="s">
        <v>157</v>
      </c>
      <c r="C107" s="14">
        <v>45315.96</v>
      </c>
      <c r="D107" s="3">
        <v>2.31</v>
      </c>
      <c r="E107" s="3">
        <v>37.53</v>
      </c>
      <c r="F107" s="3">
        <v>23.48</v>
      </c>
      <c r="G107" s="3">
        <v>119.27</v>
      </c>
      <c r="H107" s="14">
        <v>1651.5</v>
      </c>
      <c r="I107" s="3">
        <v>709.35</v>
      </c>
      <c r="J107" s="3">
        <v>122.41</v>
      </c>
      <c r="K107" s="14">
        <v>1386.5</v>
      </c>
      <c r="L107" s="14"/>
      <c r="M107" s="14">
        <f t="shared" ref="M107:U107" si="102">C107/C108-1</f>
        <v>-5.6099987335781698E-2</v>
      </c>
      <c r="N107" s="14">
        <f t="shared" si="102"/>
        <v>0.297752808988764</v>
      </c>
      <c r="O107" s="14">
        <f t="shared" si="102"/>
        <v>-4.9632818435046855E-2</v>
      </c>
      <c r="P107" s="14">
        <f t="shared" si="102"/>
        <v>5.9982862039418272E-3</v>
      </c>
      <c r="Q107" s="14">
        <f t="shared" si="102"/>
        <v>5.9518521808652469E-2</v>
      </c>
      <c r="R107" s="14">
        <f t="shared" si="102"/>
        <v>0.26921303412234865</v>
      </c>
      <c r="S107" s="14">
        <f t="shared" si="102"/>
        <v>3.1646766241510083E-2</v>
      </c>
      <c r="T107" s="14">
        <f t="shared" si="102"/>
        <v>-7.0821314710794114E-2</v>
      </c>
      <c r="U107" s="14">
        <f t="shared" si="102"/>
        <v>-3.9021347380094218E-2</v>
      </c>
    </row>
    <row r="108" spans="2:21" ht="14.25" customHeight="1">
      <c r="B108" s="13" t="s">
        <v>158</v>
      </c>
      <c r="C108" s="14">
        <v>48009.279999999999</v>
      </c>
      <c r="D108" s="3">
        <v>1.78</v>
      </c>
      <c r="E108" s="3">
        <v>39.49</v>
      </c>
      <c r="F108" s="3">
        <v>23.34</v>
      </c>
      <c r="G108" s="3">
        <v>112.57</v>
      </c>
      <c r="H108" s="14">
        <v>1301.2</v>
      </c>
      <c r="I108" s="3">
        <v>687.59</v>
      </c>
      <c r="J108" s="3">
        <v>131.74</v>
      </c>
      <c r="K108" s="14">
        <v>1442.8</v>
      </c>
      <c r="L108" s="14"/>
      <c r="M108" s="14">
        <f t="shared" ref="M108:U108" si="103">C108/C109-1</f>
        <v>1.6159743299933416E-2</v>
      </c>
      <c r="N108" s="14">
        <f t="shared" si="103"/>
        <v>4.0935672514619936E-2</v>
      </c>
      <c r="O108" s="14">
        <f t="shared" si="103"/>
        <v>-5.6842608072605549E-2</v>
      </c>
      <c r="P108" s="14">
        <f t="shared" si="103"/>
        <v>-2.9118136439267861E-2</v>
      </c>
      <c r="Q108" s="14">
        <f t="shared" si="103"/>
        <v>-2.4185159500693554E-2</v>
      </c>
      <c r="R108" s="14">
        <f t="shared" si="103"/>
        <v>3.8574294090418793E-3</v>
      </c>
      <c r="S108" s="14">
        <f t="shared" si="103"/>
        <v>0.10564569296820991</v>
      </c>
      <c r="T108" s="14">
        <f t="shared" si="103"/>
        <v>0.17457203994293868</v>
      </c>
      <c r="U108" s="14">
        <f t="shared" si="103"/>
        <v>-6.897508533964869E-2</v>
      </c>
    </row>
    <row r="109" spans="2:21" ht="14.25" customHeight="1">
      <c r="B109" s="13" t="s">
        <v>159</v>
      </c>
      <c r="C109" s="14">
        <v>47245.8</v>
      </c>
      <c r="D109" s="3">
        <v>1.71</v>
      </c>
      <c r="E109" s="3">
        <v>41.87</v>
      </c>
      <c r="F109" s="3">
        <v>24.04</v>
      </c>
      <c r="G109" s="3">
        <v>115.36</v>
      </c>
      <c r="H109" s="14">
        <v>1296.2</v>
      </c>
      <c r="I109" s="3">
        <v>621.89</v>
      </c>
      <c r="J109" s="3">
        <v>112.16</v>
      </c>
      <c r="K109" s="14">
        <v>1549.69</v>
      </c>
      <c r="L109" s="14"/>
      <c r="M109" s="14">
        <f t="shared" ref="M109:U109" si="104">C109/C110-1</f>
        <v>-6.2160663607992994E-3</v>
      </c>
      <c r="N109" s="14">
        <f t="shared" si="104"/>
        <v>0.11764705882352944</v>
      </c>
      <c r="O109" s="14">
        <f t="shared" si="104"/>
        <v>8.8663546541861482E-2</v>
      </c>
      <c r="P109" s="14">
        <f t="shared" si="104"/>
        <v>9.6598068038640239E-3</v>
      </c>
      <c r="Q109" s="14">
        <f t="shared" si="104"/>
        <v>-2.5938094414663659E-3</v>
      </c>
      <c r="R109" s="14">
        <f t="shared" si="104"/>
        <v>2.1836815135987342E-2</v>
      </c>
      <c r="S109" s="14">
        <f t="shared" si="104"/>
        <v>-0.15750186276502065</v>
      </c>
      <c r="T109" s="14">
        <f t="shared" si="104"/>
        <v>2.1443888491778917E-3</v>
      </c>
      <c r="U109" s="14">
        <f t="shared" si="104"/>
        <v>6.2494000850165321E-2</v>
      </c>
    </row>
    <row r="110" spans="2:21" ht="14.25" customHeight="1">
      <c r="B110" s="13" t="s">
        <v>160</v>
      </c>
      <c r="C110" s="14">
        <v>47541.32</v>
      </c>
      <c r="D110" s="3">
        <v>1.53</v>
      </c>
      <c r="E110" s="3">
        <v>38.46</v>
      </c>
      <c r="F110" s="3">
        <v>23.81</v>
      </c>
      <c r="G110" s="3">
        <v>115.66</v>
      </c>
      <c r="H110" s="14">
        <v>1268.5</v>
      </c>
      <c r="I110" s="3">
        <v>738.15</v>
      </c>
      <c r="J110" s="3">
        <v>111.92</v>
      </c>
      <c r="K110" s="14">
        <v>1458.54</v>
      </c>
      <c r="L110" s="14"/>
      <c r="M110" s="14">
        <f t="shared" ref="M110:U110" si="105">C110/C111-1</f>
        <v>1.8873496672893841E-2</v>
      </c>
      <c r="N110" s="14">
        <f t="shared" si="105"/>
        <v>6.9930069930070005E-2</v>
      </c>
      <c r="O110" s="14">
        <f t="shared" si="105"/>
        <v>1.370585134422786E-2</v>
      </c>
      <c r="P110" s="14">
        <f t="shared" si="105"/>
        <v>-2.0970394736842146E-2</v>
      </c>
      <c r="Q110" s="14">
        <f t="shared" si="105"/>
        <v>-1.6914577135571651E-2</v>
      </c>
      <c r="R110" s="14">
        <f t="shared" si="105"/>
        <v>5.6643065389420988E-2</v>
      </c>
      <c r="S110" s="14">
        <f t="shared" si="105"/>
        <v>-1.1794473599657351E-2</v>
      </c>
      <c r="T110" s="14">
        <f t="shared" si="105"/>
        <v>6.5701771091220884E-2</v>
      </c>
      <c r="U110" s="14">
        <f t="shared" si="105"/>
        <v>-5.2280701754386039E-2</v>
      </c>
    </row>
    <row r="111" spans="2:21" ht="14.25" customHeight="1">
      <c r="B111" s="13" t="s">
        <v>161</v>
      </c>
      <c r="C111" s="14">
        <v>46660.67</v>
      </c>
      <c r="D111" s="3">
        <v>1.43</v>
      </c>
      <c r="E111" s="3">
        <v>37.94</v>
      </c>
      <c r="F111" s="3">
        <v>24.32</v>
      </c>
      <c r="G111" s="3">
        <v>117.65</v>
      </c>
      <c r="H111" s="14">
        <v>1200.5</v>
      </c>
      <c r="I111" s="3">
        <v>746.96</v>
      </c>
      <c r="J111" s="3">
        <v>105.02</v>
      </c>
      <c r="K111" s="14">
        <v>1539</v>
      </c>
      <c r="L111" s="14"/>
      <c r="M111" s="14">
        <f t="shared" ref="M111:U111" si="106">C111/C112-1</f>
        <v>1.5101870949902896E-2</v>
      </c>
      <c r="N111" s="14">
        <f t="shared" si="106"/>
        <v>0.21186440677966112</v>
      </c>
      <c r="O111" s="14">
        <f t="shared" si="106"/>
        <v>6.0368921185019575E-2</v>
      </c>
      <c r="P111" s="14">
        <f t="shared" si="106"/>
        <v>-8.2169268693510489E-4</v>
      </c>
      <c r="Q111" s="14">
        <f t="shared" si="106"/>
        <v>-2.2353332225361511E-2</v>
      </c>
      <c r="R111" s="14">
        <f t="shared" si="106"/>
        <v>6.1825579338404379E-2</v>
      </c>
      <c r="S111" s="14">
        <f t="shared" si="106"/>
        <v>2.8473866828220507E-2</v>
      </c>
      <c r="T111" s="14">
        <f t="shared" si="106"/>
        <v>4.7894631810017962E-2</v>
      </c>
      <c r="U111" s="14">
        <f t="shared" si="106"/>
        <v>7.1316696251435774E-2</v>
      </c>
    </row>
    <row r="112" spans="2:21" ht="14.25" customHeight="1">
      <c r="B112" s="13" t="s">
        <v>162</v>
      </c>
      <c r="C112" s="14">
        <v>45966.49</v>
      </c>
      <c r="D112" s="3">
        <v>1.18</v>
      </c>
      <c r="E112" s="3">
        <v>35.78</v>
      </c>
      <c r="F112" s="3">
        <v>24.34</v>
      </c>
      <c r="G112" s="3">
        <v>120.34</v>
      </c>
      <c r="H112" s="14">
        <v>1130.5999999999999</v>
      </c>
      <c r="I112" s="3">
        <v>726.28</v>
      </c>
      <c r="J112" s="3">
        <v>100.22</v>
      </c>
      <c r="K112" s="14">
        <v>1436.55</v>
      </c>
      <c r="L112" s="14"/>
      <c r="M112" s="14">
        <f t="shared" ref="M112:U112" si="107">C112/C113-1</f>
        <v>1.115367651830379E-2</v>
      </c>
      <c r="N112" s="14">
        <f t="shared" si="107"/>
        <v>8.5470085470085166E-3</v>
      </c>
      <c r="O112" s="14">
        <f t="shared" si="107"/>
        <v>-9.9612617598229258E-3</v>
      </c>
      <c r="P112" s="14">
        <f t="shared" si="107"/>
        <v>3.1793132683340497E-2</v>
      </c>
      <c r="Q112" s="14">
        <f t="shared" si="107"/>
        <v>-1.4091430444043929E-2</v>
      </c>
      <c r="R112" s="14">
        <f t="shared" si="107"/>
        <v>-5.8876411976725773E-2</v>
      </c>
      <c r="S112" s="14">
        <f t="shared" si="107"/>
        <v>5.1330303118033438E-2</v>
      </c>
      <c r="T112" s="14">
        <f t="shared" si="107"/>
        <v>-0.14011154011154014</v>
      </c>
      <c r="U112" s="14">
        <f t="shared" si="107"/>
        <v>3.2004310344827536E-2</v>
      </c>
    </row>
    <row r="113" spans="2:21" ht="14.25" customHeight="1">
      <c r="B113" s="13" t="s">
        <v>163</v>
      </c>
      <c r="C113" s="14">
        <v>45459.45</v>
      </c>
      <c r="D113" s="3">
        <v>1.17</v>
      </c>
      <c r="E113" s="3">
        <v>36.14</v>
      </c>
      <c r="F113" s="3">
        <v>23.59</v>
      </c>
      <c r="G113" s="3">
        <v>122.06</v>
      </c>
      <c r="H113" s="14">
        <v>1201.33</v>
      </c>
      <c r="I113" s="3">
        <v>690.82</v>
      </c>
      <c r="J113" s="3">
        <v>116.55</v>
      </c>
      <c r="K113" s="14">
        <v>1392</v>
      </c>
      <c r="L113" s="14"/>
      <c r="M113" s="14">
        <f t="shared" ref="M113:U113" si="108">C113/C114-1</f>
        <v>-7.1054195532707087E-3</v>
      </c>
      <c r="N113" s="14">
        <f t="shared" si="108"/>
        <v>0.31460674157303359</v>
      </c>
      <c r="O113" s="14">
        <f t="shared" si="108"/>
        <v>9.5815645845967357E-2</v>
      </c>
      <c r="P113" s="14">
        <f t="shared" si="108"/>
        <v>5.8322117541498519E-2</v>
      </c>
      <c r="Q113" s="14">
        <f t="shared" si="108"/>
        <v>-3.502253142540912E-2</v>
      </c>
      <c r="R113" s="14">
        <f t="shared" si="108"/>
        <v>0.11112858173477114</v>
      </c>
      <c r="S113" s="14">
        <f t="shared" si="108"/>
        <v>-9.7545363100758897E-2</v>
      </c>
      <c r="T113" s="14">
        <f t="shared" si="108"/>
        <v>2.7324812692816058E-2</v>
      </c>
      <c r="U113" s="14">
        <f t="shared" si="108"/>
        <v>6.1784897025171537E-2</v>
      </c>
    </row>
    <row r="114" spans="2:21" ht="14.25" customHeight="1">
      <c r="B114" s="13" t="s">
        <v>164</v>
      </c>
      <c r="C114" s="14">
        <v>45784.77</v>
      </c>
      <c r="D114" s="3">
        <v>0.89</v>
      </c>
      <c r="E114" s="3">
        <v>32.979999999999997</v>
      </c>
      <c r="F114" s="3">
        <v>22.29</v>
      </c>
      <c r="G114" s="3">
        <v>126.49</v>
      </c>
      <c r="H114" s="14">
        <v>1081.18</v>
      </c>
      <c r="I114" s="3">
        <v>765.49</v>
      </c>
      <c r="J114" s="3">
        <v>113.45</v>
      </c>
      <c r="K114" s="14">
        <v>1311</v>
      </c>
      <c r="L114" s="14"/>
      <c r="M114" s="14">
        <f t="shared" ref="M114:U114" si="109">C114/C115-1</f>
        <v>-2.0991223397531789E-3</v>
      </c>
      <c r="N114" s="14">
        <f t="shared" si="109"/>
        <v>0</v>
      </c>
      <c r="O114" s="14">
        <f t="shared" si="109"/>
        <v>0.11118598382749312</v>
      </c>
      <c r="P114" s="14">
        <f t="shared" si="109"/>
        <v>-2.3653088042049908E-2</v>
      </c>
      <c r="Q114" s="14">
        <f t="shared" si="109"/>
        <v>6.4449395289623013E-3</v>
      </c>
      <c r="R114" s="14">
        <f t="shared" si="109"/>
        <v>5.8392802952434097E-2</v>
      </c>
      <c r="S114" s="14">
        <f t="shared" si="109"/>
        <v>-6.4787665542686779E-2</v>
      </c>
      <c r="T114" s="14">
        <f t="shared" si="109"/>
        <v>7.5488454706928998E-3</v>
      </c>
      <c r="U114" s="14">
        <f t="shared" si="109"/>
        <v>5.7087566521528688E-2</v>
      </c>
    </row>
    <row r="115" spans="2:21" ht="14.25" customHeight="1">
      <c r="B115" s="13" t="s">
        <v>165</v>
      </c>
      <c r="C115" s="14">
        <v>45881.08</v>
      </c>
      <c r="D115" s="3">
        <v>0.89</v>
      </c>
      <c r="E115" s="3">
        <v>29.68</v>
      </c>
      <c r="F115" s="3">
        <v>22.83</v>
      </c>
      <c r="G115" s="3">
        <v>125.68</v>
      </c>
      <c r="H115" s="14">
        <v>1021.53</v>
      </c>
      <c r="I115" s="3">
        <v>818.52</v>
      </c>
      <c r="J115" s="3">
        <v>112.6</v>
      </c>
      <c r="K115" s="14">
        <v>1240.2</v>
      </c>
      <c r="L115" s="14"/>
      <c r="M115" s="14">
        <f t="shared" ref="M115:U115" si="110">C115/C116-1</f>
        <v>4.9551720659280596E-2</v>
      </c>
      <c r="N115" s="14">
        <f t="shared" si="110"/>
        <v>0.14102564102564097</v>
      </c>
      <c r="O115" s="14">
        <f t="shared" si="110"/>
        <v>7.4194715888526996E-2</v>
      </c>
      <c r="P115" s="14">
        <f t="shared" si="110"/>
        <v>3.2564450474898088E-2</v>
      </c>
      <c r="Q115" s="14">
        <f t="shared" si="110"/>
        <v>7.2446454475638022E-2</v>
      </c>
      <c r="R115" s="14">
        <f t="shared" si="110"/>
        <v>-8.810316220490666E-3</v>
      </c>
      <c r="S115" s="14">
        <f t="shared" si="110"/>
        <v>4.0791414475357168E-2</v>
      </c>
      <c r="T115" s="14">
        <f t="shared" si="110"/>
        <v>3.5021601250114776E-2</v>
      </c>
      <c r="U115" s="14">
        <f t="shared" si="110"/>
        <v>-5.2414425427872779E-2</v>
      </c>
    </row>
    <row r="116" spans="2:21" ht="14.25" customHeight="1">
      <c r="B116" s="13" t="s">
        <v>166</v>
      </c>
      <c r="C116" s="14">
        <v>43714.93</v>
      </c>
      <c r="D116" s="3">
        <v>0.78</v>
      </c>
      <c r="E116" s="3">
        <v>27.63</v>
      </c>
      <c r="F116" s="3">
        <v>22.11</v>
      </c>
      <c r="G116" s="3">
        <v>117.19</v>
      </c>
      <c r="H116" s="14">
        <v>1030.6099999999999</v>
      </c>
      <c r="I116" s="3">
        <v>786.44</v>
      </c>
      <c r="J116" s="3">
        <v>108.79</v>
      </c>
      <c r="K116" s="14">
        <v>1308.8</v>
      </c>
      <c r="L116" s="14"/>
      <c r="M116" s="14">
        <f t="shared" ref="M116:U116" si="111">C116/C117-1</f>
        <v>1.9289139293210411E-3</v>
      </c>
      <c r="N116" s="14">
        <f t="shared" si="111"/>
        <v>6.8493150684931559E-2</v>
      </c>
      <c r="O116" s="14">
        <f t="shared" si="111"/>
        <v>-5.8603066439523066E-2</v>
      </c>
      <c r="P116" s="14">
        <f t="shared" si="111"/>
        <v>-4.5207956600368249E-4</v>
      </c>
      <c r="Q116" s="14">
        <f t="shared" si="111"/>
        <v>-5.3239618678300182E-2</v>
      </c>
      <c r="R116" s="14">
        <f t="shared" si="111"/>
        <v>-4.3961038961039089E-2</v>
      </c>
      <c r="S116" s="14">
        <f t="shared" si="111"/>
        <v>0.12707625721942772</v>
      </c>
      <c r="T116" s="14">
        <f t="shared" si="111"/>
        <v>-1.1449341208541464E-2</v>
      </c>
      <c r="U116" s="14">
        <f t="shared" si="111"/>
        <v>-6.496252848763695E-2</v>
      </c>
    </row>
    <row r="117" spans="2:21" ht="14.25" customHeight="1">
      <c r="B117" s="13" t="s">
        <v>167</v>
      </c>
      <c r="C117" s="14">
        <v>43630.77</v>
      </c>
      <c r="D117" s="3">
        <v>0.73</v>
      </c>
      <c r="E117" s="3">
        <v>29.35</v>
      </c>
      <c r="F117" s="3">
        <v>22.12</v>
      </c>
      <c r="G117" s="3">
        <v>123.78</v>
      </c>
      <c r="H117" s="14">
        <v>1078</v>
      </c>
      <c r="I117" s="3">
        <v>697.77</v>
      </c>
      <c r="J117" s="3">
        <v>110.05</v>
      </c>
      <c r="K117" s="14">
        <v>1399.73</v>
      </c>
      <c r="L117" s="14"/>
      <c r="M117" s="14">
        <f t="shared" ref="M117:U117" si="112">C117/C118-1</f>
        <v>1.5200279215868751E-2</v>
      </c>
      <c r="N117" s="14">
        <f t="shared" si="112"/>
        <v>-0.1097560975609756</v>
      </c>
      <c r="O117" s="14">
        <f t="shared" si="112"/>
        <v>-0.13139982243267234</v>
      </c>
      <c r="P117" s="14">
        <f t="shared" si="112"/>
        <v>8.2721488007831745E-2</v>
      </c>
      <c r="Q117" s="14">
        <f t="shared" si="112"/>
        <v>4.7739969527679005E-2</v>
      </c>
      <c r="R117" s="14">
        <f t="shared" si="112"/>
        <v>-6.1605021022484885E-2</v>
      </c>
      <c r="S117" s="14">
        <f t="shared" si="112"/>
        <v>8.0005572065378727E-2</v>
      </c>
      <c r="T117" s="14">
        <f t="shared" si="112"/>
        <v>-7.9618633436480679E-2</v>
      </c>
      <c r="U117" s="14">
        <f t="shared" si="112"/>
        <v>-5.4980364155654549E-4</v>
      </c>
    </row>
    <row r="118" spans="2:21" ht="14.25" customHeight="1">
      <c r="B118" s="13" t="s">
        <v>168</v>
      </c>
      <c r="C118" s="14">
        <v>42977.5</v>
      </c>
      <c r="D118" s="3">
        <v>0.82</v>
      </c>
      <c r="E118" s="3">
        <v>33.79</v>
      </c>
      <c r="F118" s="3">
        <v>20.43</v>
      </c>
      <c r="G118" s="3">
        <v>118.14</v>
      </c>
      <c r="H118" s="14">
        <v>1148.77</v>
      </c>
      <c r="I118" s="3">
        <v>646.08000000000004</v>
      </c>
      <c r="J118" s="3">
        <v>119.57</v>
      </c>
      <c r="K118" s="14">
        <v>1400.5</v>
      </c>
      <c r="L118" s="14"/>
      <c r="M118" s="14">
        <f t="shared" ref="M118:R118" si="113">C118/C119-1</f>
        <v>-1.0158100627496891E-2</v>
      </c>
      <c r="N118" s="14">
        <f t="shared" si="113"/>
        <v>3.7974683544303778E-2</v>
      </c>
      <c r="O118" s="14">
        <f t="shared" si="113"/>
        <v>1.6546329723224895E-2</v>
      </c>
      <c r="P118" s="14">
        <f t="shared" si="113"/>
        <v>4.181540030596631E-2</v>
      </c>
      <c r="Q118" s="14">
        <f t="shared" si="113"/>
        <v>3.48633496846531E-2</v>
      </c>
      <c r="R118" s="14">
        <f t="shared" si="113"/>
        <v>3.7732610659440002E-2</v>
      </c>
      <c r="S118" s="14"/>
      <c r="T118" s="14">
        <f t="shared" ref="T118:U118" si="114">J118/J119-1</f>
        <v>-8.396537194514675E-2</v>
      </c>
      <c r="U118" s="14">
        <f t="shared" si="114"/>
        <v>3.0279400297203107E-2</v>
      </c>
    </row>
    <row r="119" spans="2:21" ht="14.25" customHeight="1">
      <c r="B119" s="13" t="s">
        <v>169</v>
      </c>
      <c r="C119" s="14">
        <v>43418.55</v>
      </c>
      <c r="D119" s="3">
        <v>0.79</v>
      </c>
      <c r="E119" s="3">
        <v>33.24</v>
      </c>
      <c r="F119" s="3">
        <v>19.61</v>
      </c>
      <c r="G119" s="3">
        <v>114.16</v>
      </c>
      <c r="H119" s="14">
        <v>1107</v>
      </c>
      <c r="J119" s="3">
        <v>130.53</v>
      </c>
      <c r="K119" s="14">
        <v>1359.34</v>
      </c>
      <c r="L119" s="14"/>
      <c r="M119" s="14">
        <f t="shared" ref="M119:R119" si="115">C119/C120-1</f>
        <v>-2.523889404248858E-2</v>
      </c>
      <c r="N119" s="14">
        <f t="shared" si="115"/>
        <v>0.11267605633802824</v>
      </c>
      <c r="O119" s="14">
        <f t="shared" si="115"/>
        <v>6.1980830670926634E-2</v>
      </c>
      <c r="P119" s="14">
        <f t="shared" si="115"/>
        <v>2.7777777777777901E-2</v>
      </c>
      <c r="Q119" s="14">
        <f t="shared" si="115"/>
        <v>1.7015590200445407E-2</v>
      </c>
      <c r="R119" s="14">
        <f t="shared" si="115"/>
        <v>3.8461538461538547E-2</v>
      </c>
      <c r="S119" s="14"/>
      <c r="T119" s="14">
        <f t="shared" ref="T119:U119" si="116">J119/J120-1</f>
        <v>-2.58228225987015E-2</v>
      </c>
      <c r="U119" s="14">
        <f t="shared" si="116"/>
        <v>-8.1278723979453904E-2</v>
      </c>
    </row>
    <row r="120" spans="2:21" ht="14.25" customHeight="1">
      <c r="B120" s="13" t="s">
        <v>170</v>
      </c>
      <c r="C120" s="14">
        <v>44542.76</v>
      </c>
      <c r="D120" s="3">
        <v>0.71</v>
      </c>
      <c r="E120" s="3">
        <v>31.3</v>
      </c>
      <c r="F120" s="3">
        <v>19.079999999999998</v>
      </c>
      <c r="G120" s="3">
        <v>112.25</v>
      </c>
      <c r="H120" s="14">
        <v>1066</v>
      </c>
      <c r="J120" s="3">
        <v>133.99</v>
      </c>
      <c r="K120" s="14">
        <v>1479.6</v>
      </c>
      <c r="L120" s="14"/>
      <c r="M120" s="14">
        <f t="shared" ref="M120:R120" si="117">C120/C121-1</f>
        <v>4.48066195446013E-2</v>
      </c>
      <c r="N120" s="14">
        <f t="shared" si="117"/>
        <v>0.14516129032258052</v>
      </c>
      <c r="O120" s="14">
        <f t="shared" si="117"/>
        <v>0.22313403673309895</v>
      </c>
      <c r="P120" s="14">
        <f t="shared" si="117"/>
        <v>-0.11707542804257298</v>
      </c>
      <c r="Q120" s="14">
        <f t="shared" si="117"/>
        <v>0.1392469298690755</v>
      </c>
      <c r="R120" s="14">
        <f t="shared" si="117"/>
        <v>3.8986354775828458E-2</v>
      </c>
      <c r="S120" s="14"/>
      <c r="T120" s="14">
        <f t="shared" ref="T120:U120" si="118">J120/J121-1</f>
        <v>1.5537365469152631E-2</v>
      </c>
      <c r="U120" s="14">
        <f t="shared" si="118"/>
        <v>4.9585018088954991E-2</v>
      </c>
    </row>
    <row r="121" spans="2:21" ht="14.25" customHeight="1">
      <c r="B121" s="13" t="s">
        <v>171</v>
      </c>
      <c r="C121" s="14">
        <v>42632.54</v>
      </c>
      <c r="D121" s="3">
        <v>0.62</v>
      </c>
      <c r="E121" s="3">
        <v>25.59</v>
      </c>
      <c r="F121" s="3">
        <v>21.61</v>
      </c>
      <c r="G121" s="3">
        <v>98.53</v>
      </c>
      <c r="H121" s="14">
        <v>1026</v>
      </c>
      <c r="J121" s="3">
        <v>131.94</v>
      </c>
      <c r="K121" s="14">
        <v>1409.7</v>
      </c>
      <c r="L121" s="14"/>
      <c r="M121" s="14">
        <f t="shared" ref="M121:R121" si="119">C121/C122-1</f>
        <v>-2.4916998231552245E-2</v>
      </c>
      <c r="N121" s="14">
        <f t="shared" si="119"/>
        <v>0.10714285714285698</v>
      </c>
      <c r="O121" s="14">
        <f t="shared" si="119"/>
        <v>-1.9500780031201925E-3</v>
      </c>
      <c r="P121" s="14">
        <f t="shared" si="119"/>
        <v>1.3901760889714065E-3</v>
      </c>
      <c r="Q121" s="14">
        <f t="shared" si="119"/>
        <v>3.6939591664912674E-2</v>
      </c>
      <c r="R121" s="14">
        <f t="shared" si="119"/>
        <v>-4.0098796848979212E-2</v>
      </c>
      <c r="S121" s="14"/>
      <c r="T121" s="14">
        <f t="shared" ref="T121:U121" si="120">J121/J122-1</f>
        <v>-8.5084252132307081E-2</v>
      </c>
      <c r="U121" s="14">
        <f t="shared" si="120"/>
        <v>3.123628383321142E-2</v>
      </c>
    </row>
    <row r="122" spans="2:21" ht="14.25" customHeight="1">
      <c r="B122" s="13" t="s">
        <v>172</v>
      </c>
      <c r="C122" s="14">
        <v>43721.96</v>
      </c>
      <c r="D122" s="3">
        <v>0.56000000000000005</v>
      </c>
      <c r="E122" s="3">
        <v>25.64</v>
      </c>
      <c r="F122" s="3">
        <v>21.58</v>
      </c>
      <c r="G122" s="3">
        <v>95.02</v>
      </c>
      <c r="H122" s="14">
        <v>1068.8599999999999</v>
      </c>
      <c r="J122" s="3">
        <v>144.21</v>
      </c>
      <c r="K122" s="14">
        <v>1367</v>
      </c>
      <c r="L122" s="14"/>
      <c r="M122" s="14">
        <f t="shared" ref="M122:R122" si="121">C122/C123-1</f>
        <v>-2.3036927414584962E-2</v>
      </c>
      <c r="N122" s="14">
        <f t="shared" si="121"/>
        <v>0.12000000000000011</v>
      </c>
      <c r="O122" s="14">
        <f t="shared" si="121"/>
        <v>-4.3640432674375118E-2</v>
      </c>
      <c r="P122" s="14">
        <f t="shared" si="121"/>
        <v>-0.10045852438516045</v>
      </c>
      <c r="Q122" s="14">
        <f t="shared" si="121"/>
        <v>-4.8467854996995796E-2</v>
      </c>
      <c r="R122" s="14">
        <f t="shared" si="121"/>
        <v>-3.2775907626597212E-2</v>
      </c>
      <c r="S122" s="14"/>
      <c r="T122" s="14">
        <f t="shared" ref="T122:U122" si="122">J122/J123-1</f>
        <v>-5.1873767258382553E-2</v>
      </c>
      <c r="U122" s="14">
        <f t="shared" si="122"/>
        <v>3.1931758133917132E-2</v>
      </c>
    </row>
    <row r="123" spans="2:21" ht="14.25" customHeight="1">
      <c r="B123" s="13" t="s">
        <v>173</v>
      </c>
      <c r="C123" s="14">
        <v>44752.93</v>
      </c>
      <c r="D123" s="3">
        <v>0.5</v>
      </c>
      <c r="E123" s="3">
        <v>26.81</v>
      </c>
      <c r="F123" s="3">
        <v>23.99</v>
      </c>
      <c r="G123" s="3">
        <v>99.86</v>
      </c>
      <c r="H123" s="14">
        <v>1105.08</v>
      </c>
      <c r="J123" s="3">
        <v>152.1</v>
      </c>
      <c r="K123" s="14">
        <v>1324.7</v>
      </c>
      <c r="L123" s="14"/>
      <c r="M123" s="14">
        <f t="shared" ref="M123:R123" si="123">C123/C124-1</f>
        <v>-6.6758113096149208E-3</v>
      </c>
      <c r="N123" s="14">
        <f t="shared" si="123"/>
        <v>0</v>
      </c>
      <c r="O123" s="14">
        <f t="shared" si="123"/>
        <v>0.23548387096774182</v>
      </c>
      <c r="P123" s="14">
        <f t="shared" si="123"/>
        <v>1.4805414551607443E-2</v>
      </c>
      <c r="Q123" s="14">
        <f t="shared" si="123"/>
        <v>5.0383927632271064E-2</v>
      </c>
      <c r="R123" s="14">
        <f t="shared" si="123"/>
        <v>4.6477272727272645E-2</v>
      </c>
      <c r="S123" s="14"/>
      <c r="T123" s="14">
        <f t="shared" ref="T123:U123" si="124">J123/J124-1</f>
        <v>4.9617003657442593E-2</v>
      </c>
      <c r="U123" s="14">
        <f t="shared" si="124"/>
        <v>0.20111706516515704</v>
      </c>
    </row>
    <row r="124" spans="2:21" ht="14.25" customHeight="1">
      <c r="B124" s="13" t="s">
        <v>174</v>
      </c>
      <c r="C124" s="14">
        <v>45053.7</v>
      </c>
      <c r="D124" s="3">
        <v>0.5</v>
      </c>
      <c r="E124" s="3">
        <v>21.7</v>
      </c>
      <c r="F124" s="3">
        <v>23.64</v>
      </c>
      <c r="G124" s="3">
        <v>95.07</v>
      </c>
      <c r="H124" s="14">
        <v>1056</v>
      </c>
      <c r="J124" s="3">
        <v>144.91</v>
      </c>
      <c r="K124" s="14">
        <v>1102.8900000000001</v>
      </c>
      <c r="L124" s="14"/>
      <c r="M124" s="14">
        <f t="shared" ref="M124:R124" si="125">C124/C125-1</f>
        <v>7.8311331386584637E-3</v>
      </c>
      <c r="N124" s="14">
        <f t="shared" si="125"/>
        <v>-9.0909090909090939E-2</v>
      </c>
      <c r="O124" s="14">
        <f t="shared" si="125"/>
        <v>1.1183597390493905E-2</v>
      </c>
      <c r="P124" s="14">
        <f t="shared" si="125"/>
        <v>-4.5234248788368348E-2</v>
      </c>
      <c r="Q124" s="14">
        <f t="shared" si="125"/>
        <v>-8.9648702178672934E-3</v>
      </c>
      <c r="R124" s="14">
        <f t="shared" si="125"/>
        <v>4.1214750542299283E-2</v>
      </c>
      <c r="S124" s="14"/>
      <c r="T124" s="14">
        <f t="shared" ref="T124:U124" si="126">J124/J125-1</f>
        <v>2.1644106034969024E-2</v>
      </c>
      <c r="U124" s="14">
        <f t="shared" si="126"/>
        <v>-1.3188622352656942E-2</v>
      </c>
    </row>
    <row r="125" spans="2:21" ht="14.25" customHeight="1">
      <c r="B125" s="13" t="s">
        <v>175</v>
      </c>
      <c r="C125" s="14">
        <v>44703.62</v>
      </c>
      <c r="D125" s="3">
        <v>0.55000000000000004</v>
      </c>
      <c r="E125" s="3">
        <v>21.46</v>
      </c>
      <c r="F125" s="3">
        <v>24.76</v>
      </c>
      <c r="G125" s="3">
        <v>95.93</v>
      </c>
      <c r="H125" s="14">
        <v>1014.2</v>
      </c>
      <c r="J125" s="3">
        <v>141.84</v>
      </c>
      <c r="K125" s="14">
        <v>1117.6300000000001</v>
      </c>
      <c r="L125" s="14"/>
      <c r="M125" s="14">
        <f t="shared" ref="M125:R125" si="127">C125/C126-1</f>
        <v>2.7192351060587594E-3</v>
      </c>
      <c r="N125" s="14">
        <f t="shared" si="127"/>
        <v>0</v>
      </c>
      <c r="O125" s="14">
        <f t="shared" si="127"/>
        <v>1.7543859649122862E-2</v>
      </c>
      <c r="P125" s="14">
        <f t="shared" si="127"/>
        <v>-4.8424289008454968E-2</v>
      </c>
      <c r="Q125" s="14">
        <f t="shared" si="127"/>
        <v>-6.4215432418435192E-3</v>
      </c>
      <c r="R125" s="14">
        <f t="shared" si="127"/>
        <v>4.5567010309278455E-2</v>
      </c>
      <c r="S125" s="14"/>
      <c r="T125" s="14">
        <f t="shared" ref="T125:U125" si="128">J125/J126-1</f>
        <v>-7.4872297250017095E-3</v>
      </c>
      <c r="U125" s="14">
        <f t="shared" si="128"/>
        <v>3.4907450503030013E-4</v>
      </c>
    </row>
    <row r="126" spans="2:21" ht="14.25" customHeight="1">
      <c r="B126" s="13" t="s">
        <v>176</v>
      </c>
      <c r="C126" s="14">
        <v>44582.39</v>
      </c>
      <c r="D126" s="3">
        <v>0.55000000000000004</v>
      </c>
      <c r="E126" s="3">
        <v>21.09</v>
      </c>
      <c r="F126" s="3">
        <v>26.02</v>
      </c>
      <c r="G126" s="3">
        <v>96.55</v>
      </c>
      <c r="H126" s="3">
        <v>970</v>
      </c>
      <c r="J126" s="3">
        <v>142.91</v>
      </c>
      <c r="K126" s="14">
        <v>1117.24</v>
      </c>
      <c r="L126" s="14"/>
      <c r="M126" s="14">
        <f t="shared" ref="M126:R126" si="129">C126/C127-1</f>
        <v>1.9613820812820482E-2</v>
      </c>
      <c r="N126" s="14">
        <f t="shared" si="129"/>
        <v>5.7692307692307709E-2</v>
      </c>
      <c r="O126" s="14">
        <f t="shared" si="129"/>
        <v>0.13387096774193541</v>
      </c>
      <c r="P126" s="14">
        <f t="shared" si="129"/>
        <v>-5.1057622173595996E-2</v>
      </c>
      <c r="Q126" s="14">
        <f t="shared" si="129"/>
        <v>-9.1338259441707814E-3</v>
      </c>
      <c r="R126" s="14">
        <f t="shared" si="129"/>
        <v>4.3010752688172005E-2</v>
      </c>
      <c r="S126" s="14"/>
      <c r="T126" s="14">
        <f t="shared" ref="T126:U126" si="130">J126/J127-1</f>
        <v>5.5586828032647695E-3</v>
      </c>
      <c r="U126" s="14">
        <f t="shared" si="130"/>
        <v>5.9196056124383833E-2</v>
      </c>
    </row>
    <row r="127" spans="2:21" ht="14.25" customHeight="1">
      <c r="B127" s="13" t="s">
        <v>177</v>
      </c>
      <c r="C127" s="14">
        <v>43724.78</v>
      </c>
      <c r="D127" s="3">
        <v>0.52</v>
      </c>
      <c r="E127" s="3">
        <v>18.600000000000001</v>
      </c>
      <c r="F127" s="3">
        <v>27.42</v>
      </c>
      <c r="G127" s="3">
        <v>97.44</v>
      </c>
      <c r="H127" s="3">
        <v>930</v>
      </c>
      <c r="J127" s="3">
        <v>142.12</v>
      </c>
      <c r="K127" s="14">
        <v>1054.8</v>
      </c>
      <c r="L127" s="14"/>
      <c r="M127" s="14">
        <f t="shared" ref="M127:R127" si="131">C127/C128-1</f>
        <v>-1.053152771306376E-2</v>
      </c>
      <c r="N127" s="14">
        <f t="shared" si="131"/>
        <v>-5.4545454545454564E-2</v>
      </c>
      <c r="O127" s="14">
        <f t="shared" si="131"/>
        <v>-2.1567596002104117E-2</v>
      </c>
      <c r="P127" s="14">
        <f t="shared" si="131"/>
        <v>-2.0014295925661174E-2</v>
      </c>
      <c r="Q127" s="14">
        <f t="shared" si="131"/>
        <v>-1.4762386248736159E-2</v>
      </c>
      <c r="R127" s="14">
        <f t="shared" si="131"/>
        <v>9.7719869706840434E-3</v>
      </c>
      <c r="S127" s="14"/>
      <c r="T127" s="14">
        <f t="shared" ref="T127:U127" si="132">J127/J128-1</f>
        <v>3.2923904353514111E-2</v>
      </c>
      <c r="U127" s="14">
        <f t="shared" si="132"/>
        <v>6.1333307897022404E-3</v>
      </c>
    </row>
    <row r="128" spans="2:21" ht="14.25" customHeight="1">
      <c r="B128" s="13" t="s">
        <v>178</v>
      </c>
      <c r="C128" s="14">
        <v>44190.17</v>
      </c>
      <c r="D128" s="3">
        <v>0.55000000000000004</v>
      </c>
      <c r="E128" s="3">
        <v>19.010000000000002</v>
      </c>
      <c r="F128" s="3">
        <v>27.98</v>
      </c>
      <c r="G128" s="3">
        <v>98.9</v>
      </c>
      <c r="H128" s="3">
        <v>921</v>
      </c>
      <c r="J128" s="3">
        <v>137.59</v>
      </c>
      <c r="K128" s="14">
        <v>1048.3699999999999</v>
      </c>
      <c r="L128" s="14"/>
      <c r="M128" s="14">
        <f t="shared" ref="M128:R128" si="133">C128/C129-1</f>
        <v>7.9109746430941819E-2</v>
      </c>
      <c r="N128" s="14">
        <f t="shared" si="133"/>
        <v>0.14583333333333348</v>
      </c>
      <c r="O128" s="14">
        <f t="shared" si="133"/>
        <v>7.2194021432600231E-2</v>
      </c>
      <c r="P128" s="14">
        <f t="shared" si="133"/>
        <v>-1.2354394634662813E-2</v>
      </c>
      <c r="Q128" s="14">
        <f t="shared" si="133"/>
        <v>6.9883167459974027E-2</v>
      </c>
      <c r="R128" s="14">
        <f t="shared" si="133"/>
        <v>0.1064392119173474</v>
      </c>
      <c r="S128" s="14"/>
      <c r="T128" s="14">
        <f t="shared" ref="T128:U128" si="134">J128/J129-1</f>
        <v>0.16680800542740837</v>
      </c>
      <c r="U128" s="14">
        <f t="shared" si="134"/>
        <v>3.2439459145386706E-2</v>
      </c>
    </row>
    <row r="129" spans="2:21" ht="14.25" customHeight="1">
      <c r="B129" s="13" t="s">
        <v>179</v>
      </c>
      <c r="C129" s="14">
        <v>40950.58</v>
      </c>
      <c r="D129" s="3">
        <v>0.48</v>
      </c>
      <c r="E129" s="3">
        <v>17.73</v>
      </c>
      <c r="F129" s="3">
        <v>28.33</v>
      </c>
      <c r="G129" s="3">
        <v>92.44</v>
      </c>
      <c r="H129" s="3">
        <v>832.4</v>
      </c>
      <c r="J129" s="3">
        <v>117.92</v>
      </c>
      <c r="K129" s="14">
        <v>1015.43</v>
      </c>
      <c r="L129" s="14"/>
      <c r="M129" s="14">
        <f t="shared" ref="M129:R129" si="135">C129/C130-1</f>
        <v>-5.0876032490869361E-2</v>
      </c>
      <c r="N129" s="14">
        <f t="shared" si="135"/>
        <v>-4.0000000000000036E-2</v>
      </c>
      <c r="O129" s="14">
        <f t="shared" si="135"/>
        <v>0.14239690721649501</v>
      </c>
      <c r="P129" s="14">
        <f t="shared" si="135"/>
        <v>-1.0478519035976297E-2</v>
      </c>
      <c r="Q129" s="14">
        <f t="shared" si="135"/>
        <v>-1.3447171824973347E-2</v>
      </c>
      <c r="R129" s="14">
        <f t="shared" si="135"/>
        <v>-0.10211742371126242</v>
      </c>
      <c r="S129" s="14"/>
      <c r="T129" s="14">
        <f t="shared" ref="T129:U129" si="136">J129/J130-1</f>
        <v>-8.574972864009911E-2</v>
      </c>
      <c r="U129" s="14">
        <f t="shared" si="136"/>
        <v>0.10854803493449783</v>
      </c>
    </row>
    <row r="130" spans="2:21" ht="14.25" customHeight="1">
      <c r="B130" s="13" t="s">
        <v>180</v>
      </c>
      <c r="C130" s="14">
        <v>43145.66</v>
      </c>
      <c r="D130" s="3">
        <v>0.5</v>
      </c>
      <c r="E130" s="3">
        <v>15.52</v>
      </c>
      <c r="F130" s="3">
        <v>28.63</v>
      </c>
      <c r="G130" s="3">
        <v>93.7</v>
      </c>
      <c r="H130" s="3">
        <v>927.07</v>
      </c>
      <c r="J130" s="3">
        <v>128.97999999999999</v>
      </c>
      <c r="K130" s="3">
        <v>916</v>
      </c>
      <c r="M130" s="14">
        <f t="shared" ref="M130:R130" si="137">C130/C131-1</f>
        <v>-2.3643333053484095E-2</v>
      </c>
      <c r="N130" s="14">
        <f t="shared" si="137"/>
        <v>-3.8461538461538547E-2</v>
      </c>
      <c r="O130" s="14">
        <f t="shared" si="137"/>
        <v>-8.328411104548139E-2</v>
      </c>
      <c r="P130" s="14">
        <f t="shared" si="137"/>
        <v>-1.8848526387936992E-2</v>
      </c>
      <c r="Q130" s="14">
        <f t="shared" si="137"/>
        <v>-3.2124780497882477E-2</v>
      </c>
      <c r="R130" s="14">
        <f t="shared" si="137"/>
        <v>7.2761776924056054E-2</v>
      </c>
      <c r="S130" s="14"/>
      <c r="T130" s="14">
        <f t="shared" ref="T130:U130" si="138">J130/J131-1</f>
        <v>-5.2523323293910296E-2</v>
      </c>
      <c r="U130" s="14">
        <f t="shared" si="138"/>
        <v>4.3886540017550102E-2</v>
      </c>
    </row>
    <row r="131" spans="2:21" ht="14.25" customHeight="1">
      <c r="B131" s="13" t="s">
        <v>181</v>
      </c>
      <c r="C131" s="14">
        <v>44190.47</v>
      </c>
      <c r="D131" s="3">
        <v>0.52</v>
      </c>
      <c r="E131" s="3">
        <v>16.93</v>
      </c>
      <c r="F131" s="3">
        <v>29.18</v>
      </c>
      <c r="G131" s="3">
        <v>96.81</v>
      </c>
      <c r="H131" s="3">
        <v>864.19</v>
      </c>
      <c r="J131" s="3">
        <v>136.13</v>
      </c>
      <c r="K131" s="3">
        <v>877.49</v>
      </c>
      <c r="M131" s="14">
        <f t="shared" ref="M131:R131" si="139">C131/C132-1</f>
        <v>-1.8589742450838886E-2</v>
      </c>
      <c r="N131" s="14">
        <f t="shared" si="139"/>
        <v>6.1224489795918435E-2</v>
      </c>
      <c r="O131" s="14">
        <f t="shared" si="139"/>
        <v>0.10870988867059594</v>
      </c>
      <c r="P131" s="14">
        <f t="shared" si="139"/>
        <v>0.14791502753737196</v>
      </c>
      <c r="Q131" s="14">
        <f t="shared" si="139"/>
        <v>3.2860343539955261E-2</v>
      </c>
      <c r="R131" s="14">
        <f t="shared" si="139"/>
        <v>6.2702902115100878E-2</v>
      </c>
      <c r="S131" s="14"/>
      <c r="T131" s="14">
        <f t="shared" ref="T131:U131" si="140">J131/J132-1</f>
        <v>-8.1602914389800052E-3</v>
      </c>
      <c r="U131" s="14">
        <f t="shared" si="140"/>
        <v>7.4859065180201689E-3</v>
      </c>
    </row>
    <row r="132" spans="2:21" ht="14.25" customHeight="1">
      <c r="B132" s="13" t="s">
        <v>182</v>
      </c>
      <c r="C132" s="14">
        <v>45027.519999999997</v>
      </c>
      <c r="D132" s="3">
        <v>0.49</v>
      </c>
      <c r="E132" s="3">
        <v>15.27</v>
      </c>
      <c r="F132" s="3">
        <v>25.42</v>
      </c>
      <c r="G132" s="3">
        <v>93.73</v>
      </c>
      <c r="H132" s="3">
        <v>813.2</v>
      </c>
      <c r="J132" s="3">
        <v>137.25</v>
      </c>
      <c r="K132" s="3">
        <v>870.97</v>
      </c>
      <c r="M132" s="14">
        <f t="shared" ref="M132:R132" si="141">C132/C133-1</f>
        <v>9.305187475296961E-4</v>
      </c>
      <c r="N132" s="14">
        <f t="shared" si="141"/>
        <v>6.5217391304347672E-2</v>
      </c>
      <c r="O132" s="14">
        <f t="shared" si="141"/>
        <v>-5.272952853598023E-2</v>
      </c>
      <c r="P132" s="14">
        <f t="shared" si="141"/>
        <v>-2.7461749705766092E-3</v>
      </c>
      <c r="Q132" s="14">
        <f t="shared" si="141"/>
        <v>-1.1391203459550692E-2</v>
      </c>
      <c r="R132" s="14">
        <f t="shared" si="141"/>
        <v>3.2817627754337941E-3</v>
      </c>
      <c r="S132" s="14"/>
      <c r="T132" s="14">
        <f t="shared" ref="T132:U132" si="142">J132/J133-1</f>
        <v>-6.5436470107585576E-2</v>
      </c>
      <c r="U132" s="14">
        <f t="shared" si="142"/>
        <v>4.4328537170263749E-2</v>
      </c>
    </row>
    <row r="133" spans="2:21" ht="14.25" customHeight="1">
      <c r="B133" s="13" t="s">
        <v>183</v>
      </c>
      <c r="C133" s="14">
        <v>44985.66</v>
      </c>
      <c r="D133" s="3">
        <v>0.46</v>
      </c>
      <c r="E133" s="3">
        <v>16.12</v>
      </c>
      <c r="F133" s="3">
        <v>25.49</v>
      </c>
      <c r="G133" s="3">
        <v>94.81</v>
      </c>
      <c r="H133" s="3">
        <v>810.54</v>
      </c>
      <c r="J133" s="3">
        <v>146.86000000000001</v>
      </c>
      <c r="K133" s="3">
        <v>834</v>
      </c>
      <c r="M133" s="14">
        <f t="shared" ref="M133:R133" si="143">C133/C134-1</f>
        <v>-1.4079703971829449E-2</v>
      </c>
      <c r="N133" s="14">
        <f t="shared" si="143"/>
        <v>-6.1224489795918324E-2</v>
      </c>
      <c r="O133" s="14">
        <f t="shared" si="143"/>
        <v>-4.8967551622418726E-2</v>
      </c>
      <c r="P133" s="14">
        <f t="shared" si="143"/>
        <v>1.2713547874453557E-2</v>
      </c>
      <c r="Q133" s="14">
        <f t="shared" si="143"/>
        <v>1.1630388390951873E-2</v>
      </c>
      <c r="R133" s="14">
        <f t="shared" si="143"/>
        <v>4.585806451612906E-2</v>
      </c>
      <c r="S133" s="14"/>
      <c r="T133" s="14">
        <f t="shared" ref="T133:U133" si="144">J133/J134-1</f>
        <v>2.5200698080279249E-2</v>
      </c>
      <c r="U133" s="14">
        <f t="shared" si="144"/>
        <v>3.9900249376558561E-2</v>
      </c>
    </row>
    <row r="134" spans="2:21" ht="14.25" customHeight="1">
      <c r="B134" s="13" t="s">
        <v>184</v>
      </c>
      <c r="C134" s="14">
        <v>45628.09</v>
      </c>
      <c r="D134" s="3">
        <v>0.49</v>
      </c>
      <c r="E134" s="3">
        <v>16.95</v>
      </c>
      <c r="F134" s="3">
        <v>25.17</v>
      </c>
      <c r="G134" s="3">
        <v>93.72</v>
      </c>
      <c r="H134" s="3">
        <v>775</v>
      </c>
      <c r="J134" s="3">
        <v>143.25</v>
      </c>
      <c r="K134" s="3">
        <v>802</v>
      </c>
      <c r="M134" s="14">
        <f t="shared" ref="M134:R134" si="145">C134/C135-1</f>
        <v>4.1316646313395156E-2</v>
      </c>
      <c r="N134" s="14">
        <f t="shared" si="145"/>
        <v>0.11363636363636354</v>
      </c>
      <c r="O134" s="14">
        <f t="shared" si="145"/>
        <v>8.3067092651757157E-2</v>
      </c>
      <c r="P134" s="14">
        <f t="shared" si="145"/>
        <v>2.6090501426824231E-2</v>
      </c>
      <c r="Q134" s="14">
        <f t="shared" si="145"/>
        <v>-8.8832487309644659E-3</v>
      </c>
      <c r="R134" s="14">
        <f t="shared" si="145"/>
        <v>9.7719869706840434E-3</v>
      </c>
      <c r="S134" s="14"/>
      <c r="T134" s="14">
        <f t="shared" ref="T134:U134" si="146">J134/J135-1</f>
        <v>-2.5709038971638454E-2</v>
      </c>
      <c r="U134" s="14">
        <f t="shared" si="146"/>
        <v>-8.2726384646775175E-3</v>
      </c>
    </row>
    <row r="135" spans="2:21" ht="14.25" customHeight="1">
      <c r="B135" s="13" t="s">
        <v>185</v>
      </c>
      <c r="C135" s="14">
        <v>43817.69</v>
      </c>
      <c r="D135" s="3">
        <v>0.44</v>
      </c>
      <c r="E135" s="3">
        <v>15.65</v>
      </c>
      <c r="F135" s="3">
        <v>24.53</v>
      </c>
      <c r="G135" s="3">
        <v>94.56</v>
      </c>
      <c r="H135" s="3">
        <v>767.5</v>
      </c>
      <c r="J135" s="3">
        <v>147.03</v>
      </c>
      <c r="K135" s="3">
        <v>808.69</v>
      </c>
      <c r="M135" s="14">
        <f t="shared" ref="M135:R135" si="147">C135/C136-1</f>
        <v>2.5282909467332582E-2</v>
      </c>
      <c r="N135" s="14">
        <f t="shared" si="147"/>
        <v>-4.3478260869565299E-2</v>
      </c>
      <c r="O135" s="14">
        <f t="shared" si="147"/>
        <v>-3.633004926108363E-2</v>
      </c>
      <c r="P135" s="14">
        <f t="shared" si="147"/>
        <v>-1.9584332533972737E-2</v>
      </c>
      <c r="Q135" s="14">
        <f t="shared" si="147"/>
        <v>-6.1346039309112532E-2</v>
      </c>
      <c r="R135" s="14">
        <f t="shared" si="147"/>
        <v>2.469959946595468E-2</v>
      </c>
      <c r="S135" s="14"/>
      <c r="T135" s="14">
        <f t="shared" ref="T135:U135" si="148">J135/J136-1</f>
        <v>-2.3380936565924992E-2</v>
      </c>
      <c r="U135" s="14">
        <f t="shared" si="148"/>
        <v>5.0874548431530719E-2</v>
      </c>
    </row>
    <row r="136" spans="2:21" ht="14.25" customHeight="1">
      <c r="B136" s="13" t="s">
        <v>186</v>
      </c>
      <c r="C136" s="14">
        <v>42737.17</v>
      </c>
      <c r="D136" s="3">
        <v>0.46</v>
      </c>
      <c r="E136" s="3">
        <v>16.239999999999998</v>
      </c>
      <c r="F136" s="3">
        <v>25.02</v>
      </c>
      <c r="G136" s="3">
        <v>100.74</v>
      </c>
      <c r="H136" s="3">
        <v>749</v>
      </c>
      <c r="J136" s="3">
        <v>150.55000000000001</v>
      </c>
      <c r="K136" s="3">
        <v>769.54</v>
      </c>
      <c r="M136" s="14">
        <f t="shared" ref="M136:R136" si="149">C136/C137-1</f>
        <v>3.3234443460998797E-2</v>
      </c>
      <c r="N136" s="14">
        <f t="shared" si="149"/>
        <v>-2.1276595744680771E-2</v>
      </c>
      <c r="O136" s="14">
        <f t="shared" si="149"/>
        <v>3.9027511196416897E-2</v>
      </c>
      <c r="P136" s="14">
        <f t="shared" si="149"/>
        <v>-2.2274325908558046E-2</v>
      </c>
      <c r="Q136" s="14">
        <f t="shared" si="149"/>
        <v>-6.8027210884354927E-3</v>
      </c>
      <c r="R136" s="14">
        <f t="shared" si="149"/>
        <v>5.4929577464788659E-2</v>
      </c>
      <c r="S136" s="14"/>
      <c r="T136" s="14">
        <f t="shared" ref="T136:U136" si="150">J136/J137-1</f>
        <v>8.2373426198769639E-3</v>
      </c>
      <c r="U136" s="14">
        <f t="shared" si="150"/>
        <v>1.9008436621184011E-3</v>
      </c>
    </row>
    <row r="137" spans="2:21" ht="14.25" customHeight="1">
      <c r="B137" s="13" t="s">
        <v>187</v>
      </c>
      <c r="C137" s="14">
        <v>41362.51</v>
      </c>
      <c r="D137" s="3">
        <v>0.47</v>
      </c>
      <c r="E137" s="3">
        <v>15.63</v>
      </c>
      <c r="F137" s="3">
        <v>25.59</v>
      </c>
      <c r="G137" s="3">
        <v>101.43</v>
      </c>
      <c r="H137" s="3">
        <v>710</v>
      </c>
      <c r="J137" s="3">
        <v>149.32</v>
      </c>
      <c r="K137" s="3">
        <v>768.08</v>
      </c>
      <c r="M137" s="14">
        <f t="shared" ref="M137:R137" si="151">C137/C138-1</f>
        <v>1.5989316056667979E-2</v>
      </c>
      <c r="N137" s="14">
        <f t="shared" si="151"/>
        <v>2.1739130434782483E-2</v>
      </c>
      <c r="O137" s="14">
        <f t="shared" si="151"/>
        <v>2.7613412228796763E-2</v>
      </c>
      <c r="P137" s="14">
        <f t="shared" si="151"/>
        <v>-3.6883703424915315E-2</v>
      </c>
      <c r="Q137" s="14">
        <f t="shared" si="151"/>
        <v>4.9319392385105409E-4</v>
      </c>
      <c r="R137" s="14">
        <f t="shared" si="151"/>
        <v>-3.0385797200409681E-2</v>
      </c>
      <c r="S137" s="14"/>
      <c r="T137" s="14">
        <f t="shared" ref="T137:U137" si="152">J137/J138-1</f>
        <v>2.1550249709242797E-2</v>
      </c>
      <c r="U137" s="14">
        <f t="shared" si="152"/>
        <v>-2.4805516954765627E-3</v>
      </c>
    </row>
    <row r="138" spans="2:21" ht="14.25" customHeight="1">
      <c r="B138" s="13" t="s">
        <v>188</v>
      </c>
      <c r="C138" s="14">
        <v>40711.56</v>
      </c>
      <c r="D138" s="3">
        <v>0.46</v>
      </c>
      <c r="E138" s="3">
        <v>15.21</v>
      </c>
      <c r="F138" s="3">
        <v>26.57</v>
      </c>
      <c r="G138" s="3">
        <v>101.38</v>
      </c>
      <c r="H138" s="3">
        <v>732.25</v>
      </c>
      <c r="J138" s="3">
        <v>146.16999999999999</v>
      </c>
      <c r="K138" s="3">
        <v>769.99</v>
      </c>
      <c r="M138" s="14">
        <f t="shared" ref="M138:R138" si="153">C138/C139-1</f>
        <v>6.1777092354231566E-3</v>
      </c>
      <c r="N138" s="14">
        <f t="shared" si="153"/>
        <v>2.2222222222222143E-2</v>
      </c>
      <c r="O138" s="14">
        <f t="shared" si="153"/>
        <v>-9.5719381688466054E-2</v>
      </c>
      <c r="P138" s="14">
        <f t="shared" si="153"/>
        <v>4.2778649921507039E-2</v>
      </c>
      <c r="Q138" s="14">
        <f t="shared" si="153"/>
        <v>3.4173212281954468E-2</v>
      </c>
      <c r="R138" s="14">
        <f t="shared" si="153"/>
        <v>-8.3541927409261585E-2</v>
      </c>
      <c r="S138" s="14"/>
      <c r="T138" s="14">
        <f t="shared" ref="T138:U138" si="154">J138/J139-1</f>
        <v>2.0740223463687091E-2</v>
      </c>
      <c r="U138" s="14">
        <f t="shared" si="154"/>
        <v>-3.0507919719976906E-2</v>
      </c>
    </row>
    <row r="139" spans="2:21" ht="14.25" customHeight="1">
      <c r="B139" s="13" t="s">
        <v>189</v>
      </c>
      <c r="C139" s="14">
        <v>40461.599999999999</v>
      </c>
      <c r="D139" s="3">
        <v>0.45</v>
      </c>
      <c r="E139" s="3">
        <v>16.82</v>
      </c>
      <c r="F139" s="3">
        <v>25.48</v>
      </c>
      <c r="G139" s="3">
        <v>98.03</v>
      </c>
      <c r="H139" s="3">
        <v>799</v>
      </c>
      <c r="J139" s="3">
        <v>143.19999999999999</v>
      </c>
      <c r="K139" s="3">
        <v>794.22</v>
      </c>
      <c r="M139" s="14">
        <f t="shared" ref="M139:R139" si="155">C139/C140-1</f>
        <v>4.328480935794099E-2</v>
      </c>
      <c r="N139" s="14">
        <f t="shared" si="155"/>
        <v>-2.1739130434782594E-2</v>
      </c>
      <c r="O139" s="14">
        <f t="shared" si="155"/>
        <v>-7.1231363887354959E-2</v>
      </c>
      <c r="P139" s="14">
        <f t="shared" si="155"/>
        <v>2.3293172690763031E-2</v>
      </c>
      <c r="Q139" s="14">
        <f t="shared" si="155"/>
        <v>3.0267997898055565E-2</v>
      </c>
      <c r="R139" s="14">
        <f t="shared" si="155"/>
        <v>6.2457614722816857E-2</v>
      </c>
      <c r="S139" s="14"/>
      <c r="T139" s="14">
        <f t="shared" ref="T139:U139" si="156">J139/J140-1</f>
        <v>-2.0184741703729192E-2</v>
      </c>
      <c r="U139" s="14">
        <f t="shared" si="156"/>
        <v>0.10155339805825236</v>
      </c>
    </row>
    <row r="140" spans="2:21" ht="14.25" customHeight="1">
      <c r="B140" s="13" t="s">
        <v>190</v>
      </c>
      <c r="C140" s="14">
        <v>38782.89</v>
      </c>
      <c r="D140" s="3">
        <v>0.46</v>
      </c>
      <c r="E140" s="3">
        <v>18.11</v>
      </c>
      <c r="F140" s="3">
        <v>24.9</v>
      </c>
      <c r="G140" s="3">
        <v>95.15</v>
      </c>
      <c r="H140" s="3">
        <v>752.03</v>
      </c>
      <c r="J140" s="3">
        <v>146.15</v>
      </c>
      <c r="K140" s="3">
        <v>721</v>
      </c>
      <c r="M140" s="14">
        <f t="shared" ref="M140:R140" si="157">C140/C141-1</f>
        <v>-5.1293366520098638E-2</v>
      </c>
      <c r="N140" s="14">
        <f t="shared" si="157"/>
        <v>0.17948717948717952</v>
      </c>
      <c r="O140" s="14">
        <f t="shared" si="157"/>
        <v>1.0039040713887282E-2</v>
      </c>
      <c r="P140" s="14">
        <f t="shared" si="157"/>
        <v>4.0176777822420462E-4</v>
      </c>
      <c r="Q140" s="14">
        <f t="shared" si="157"/>
        <v>1.0406711266857771E-2</v>
      </c>
      <c r="R140" s="14">
        <f t="shared" si="157"/>
        <v>8.353445964065509E-3</v>
      </c>
      <c r="S140" s="14"/>
      <c r="T140" s="14">
        <f t="shared" ref="T140:U140" si="158">J140/J141-1</f>
        <v>2.7633244269441803E-2</v>
      </c>
      <c r="U140" s="14">
        <f t="shared" si="158"/>
        <v>7.7405857740585615E-2</v>
      </c>
    </row>
    <row r="141" spans="2:21" ht="14.25" customHeight="1">
      <c r="B141" s="13" t="s">
        <v>191</v>
      </c>
      <c r="C141" s="14">
        <v>40879.75</v>
      </c>
      <c r="D141" s="3">
        <v>0.39</v>
      </c>
      <c r="E141" s="3">
        <v>17.93</v>
      </c>
      <c r="F141" s="3">
        <v>24.89</v>
      </c>
      <c r="G141" s="3">
        <v>94.17</v>
      </c>
      <c r="H141" s="3">
        <v>745.8</v>
      </c>
      <c r="J141" s="3">
        <v>142.22</v>
      </c>
      <c r="K141" s="3">
        <v>669.2</v>
      </c>
      <c r="M141" s="14">
        <f t="shared" ref="M141:R141" si="159">C141/C142-1</f>
        <v>-4.3235801923322992E-2</v>
      </c>
      <c r="N141" s="14">
        <f t="shared" si="159"/>
        <v>-2.5000000000000022E-2</v>
      </c>
      <c r="O141" s="14">
        <f t="shared" si="159"/>
        <v>-0.10080240722166511</v>
      </c>
      <c r="P141" s="14">
        <f t="shared" si="159"/>
        <v>-5.1086542127335099E-2</v>
      </c>
      <c r="Q141" s="14">
        <f t="shared" si="159"/>
        <v>-2.9475419973204131E-2</v>
      </c>
      <c r="R141" s="14">
        <f t="shared" si="159"/>
        <v>-1.1779671123242741E-2</v>
      </c>
      <c r="S141" s="14"/>
      <c r="T141" s="14">
        <f t="shared" ref="T141:U141" si="160">J141/J142-1</f>
        <v>-8.1595648232093421E-3</v>
      </c>
      <c r="U141" s="14">
        <f t="shared" si="160"/>
        <v>1.5262311496798908E-2</v>
      </c>
    </row>
    <row r="142" spans="2:21" ht="14.25" customHeight="1">
      <c r="B142" s="13" t="s">
        <v>192</v>
      </c>
      <c r="C142" s="14">
        <v>42727.09</v>
      </c>
      <c r="D142" s="3">
        <v>0.4</v>
      </c>
      <c r="E142" s="3">
        <v>19.940000000000001</v>
      </c>
      <c r="F142" s="3">
        <v>26.23</v>
      </c>
      <c r="G142" s="3">
        <v>97.03</v>
      </c>
      <c r="H142" s="3">
        <v>754.69</v>
      </c>
      <c r="J142" s="3">
        <v>143.38999999999999</v>
      </c>
      <c r="K142" s="3">
        <v>659.14</v>
      </c>
      <c r="M142" s="14">
        <f t="shared" ref="M142:R142" si="161">C142/C143-1</f>
        <v>5.363874507548827E-3</v>
      </c>
      <c r="N142" s="14">
        <f t="shared" si="161"/>
        <v>2.5641025641025772E-2</v>
      </c>
      <c r="O142" s="14">
        <f t="shared" si="161"/>
        <v>1.3211382113821113E-2</v>
      </c>
      <c r="P142" s="14">
        <f t="shared" si="161"/>
        <v>-2.8518518518518499E-2</v>
      </c>
      <c r="Q142" s="14">
        <f t="shared" si="161"/>
        <v>-3.4918352675362696E-3</v>
      </c>
      <c r="R142" s="14">
        <f t="shared" si="161"/>
        <v>-4.1059602648996218E-4</v>
      </c>
      <c r="S142" s="14"/>
      <c r="T142" s="14">
        <f t="shared" ref="T142:U142" si="162">J142/J143-1</f>
        <v>3.770444347951929E-2</v>
      </c>
      <c r="U142" s="14">
        <f t="shared" si="162"/>
        <v>1.1043961100714705E-2</v>
      </c>
    </row>
    <row r="143" spans="2:21" ht="14.25" customHeight="1">
      <c r="B143" s="13" t="s">
        <v>193</v>
      </c>
      <c r="C143" s="14">
        <v>42499.13</v>
      </c>
      <c r="D143" s="3">
        <v>0.39</v>
      </c>
      <c r="E143" s="3">
        <v>19.68</v>
      </c>
      <c r="F143" s="3">
        <v>27</v>
      </c>
      <c r="G143" s="3">
        <v>97.37</v>
      </c>
      <c r="H143" s="3">
        <v>755</v>
      </c>
      <c r="J143" s="3">
        <v>138.18</v>
      </c>
      <c r="K143" s="3">
        <v>651.94000000000005</v>
      </c>
      <c r="M143" s="14">
        <f t="shared" ref="M143:R143" si="163">C143/C144-1</f>
        <v>3.5587915294484462E-2</v>
      </c>
      <c r="N143" s="14">
        <f t="shared" si="163"/>
        <v>2.6315789473684292E-2</v>
      </c>
      <c r="O143" s="14">
        <f t="shared" si="163"/>
        <v>8.1318681318681252E-2</v>
      </c>
      <c r="P143" s="14">
        <f t="shared" si="163"/>
        <v>5.5512118842846014E-2</v>
      </c>
      <c r="Q143" s="14">
        <f t="shared" si="163"/>
        <v>8.8064649813510698E-3</v>
      </c>
      <c r="R143" s="14">
        <f t="shared" si="163"/>
        <v>0.1188500296384114</v>
      </c>
      <c r="S143" s="14"/>
      <c r="T143" s="14">
        <f t="shared" ref="T143:U143" si="164">J143/J144-1</f>
        <v>2.2419533851276263E-2</v>
      </c>
      <c r="U143" s="14">
        <f t="shared" si="164"/>
        <v>-1.5077350737249029E-2</v>
      </c>
    </row>
    <row r="144" spans="2:21" ht="14.25" customHeight="1">
      <c r="B144" s="13" t="s">
        <v>194</v>
      </c>
      <c r="C144" s="14">
        <v>41038.65</v>
      </c>
      <c r="D144" s="3">
        <v>0.38</v>
      </c>
      <c r="E144" s="3">
        <v>18.2</v>
      </c>
      <c r="F144" s="3">
        <v>25.58</v>
      </c>
      <c r="G144" s="3">
        <v>96.52</v>
      </c>
      <c r="H144" s="3">
        <v>674.8</v>
      </c>
      <c r="J144" s="3">
        <v>135.15</v>
      </c>
      <c r="K144" s="3">
        <v>661.92</v>
      </c>
      <c r="M144" s="14">
        <f t="shared" ref="M144:R144" si="165">C144/C145-1</f>
        <v>2.1237156039669358E-2</v>
      </c>
      <c r="N144" s="14">
        <f t="shared" si="165"/>
        <v>-2.5641025641025661E-2</v>
      </c>
      <c r="O144" s="14">
        <f t="shared" si="165"/>
        <v>0.16442738323736394</v>
      </c>
      <c r="P144" s="14">
        <f t="shared" si="165"/>
        <v>3.7728194726166286E-2</v>
      </c>
      <c r="Q144" s="14">
        <f t="shared" si="165"/>
        <v>3.2221182829228479E-3</v>
      </c>
      <c r="R144" s="14">
        <f t="shared" si="165"/>
        <v>-1.0702243072863271E-2</v>
      </c>
      <c r="S144" s="14"/>
      <c r="T144" s="14">
        <f t="shared" ref="T144:U144" si="166">J144/J145-1</f>
        <v>4.1939711664482182E-2</v>
      </c>
      <c r="U144" s="14">
        <f t="shared" si="166"/>
        <v>-3.7851037851037939E-2</v>
      </c>
    </row>
    <row r="145" spans="2:21" ht="14.25" customHeight="1">
      <c r="B145" s="13" t="s">
        <v>195</v>
      </c>
      <c r="C145" s="14">
        <v>40185.230000000003</v>
      </c>
      <c r="D145" s="3">
        <v>0.39</v>
      </c>
      <c r="E145" s="3">
        <v>15.63</v>
      </c>
      <c r="F145" s="3">
        <v>24.65</v>
      </c>
      <c r="G145" s="3">
        <v>96.21</v>
      </c>
      <c r="H145" s="3">
        <v>682.1</v>
      </c>
      <c r="J145" s="3">
        <v>129.71</v>
      </c>
      <c r="K145" s="3">
        <v>687.96</v>
      </c>
      <c r="M145" s="14">
        <f t="shared" ref="M145:R145" si="167">C145/C146-1</f>
        <v>1.7747995033995823E-2</v>
      </c>
      <c r="N145" s="14">
        <f t="shared" si="167"/>
        <v>5.4054054054054168E-2</v>
      </c>
      <c r="O145" s="14">
        <f t="shared" si="167"/>
        <v>0.11245551601423487</v>
      </c>
      <c r="P145" s="14">
        <f t="shared" si="167"/>
        <v>1.3152486642005856E-2</v>
      </c>
      <c r="Q145" s="14">
        <f t="shared" si="167"/>
        <v>1.9605765154726562E-2</v>
      </c>
      <c r="R145" s="14">
        <f t="shared" si="167"/>
        <v>9.0236686390532395E-3</v>
      </c>
      <c r="S145" s="14"/>
      <c r="T145" s="14">
        <f t="shared" ref="T145:U145" si="168">J145/J146-1</f>
        <v>0.14706402546869479</v>
      </c>
      <c r="U145" s="14">
        <f t="shared" si="168"/>
        <v>-8.9316584072834937E-3</v>
      </c>
    </row>
    <row r="146" spans="2:21" ht="14.25" customHeight="1">
      <c r="B146" s="13" t="s">
        <v>196</v>
      </c>
      <c r="C146" s="14">
        <v>39484.46</v>
      </c>
      <c r="D146" s="3">
        <v>0.37</v>
      </c>
      <c r="E146" s="3">
        <v>14.05</v>
      </c>
      <c r="F146" s="3">
        <v>24.33</v>
      </c>
      <c r="G146" s="3">
        <v>94.36</v>
      </c>
      <c r="H146" s="3">
        <v>676</v>
      </c>
      <c r="J146" s="3">
        <v>113.08</v>
      </c>
      <c r="K146" s="3">
        <v>694.16</v>
      </c>
      <c r="M146" s="14">
        <f t="shared" ref="M146:R146" si="169">C146/C147-1</f>
        <v>-3.3141289410713703E-2</v>
      </c>
      <c r="N146" s="14">
        <f t="shared" si="169"/>
        <v>2.7777777777777901E-2</v>
      </c>
      <c r="O146" s="14">
        <f t="shared" si="169"/>
        <v>-6.7065073041168599E-2</v>
      </c>
      <c r="P146" s="14">
        <f t="shared" si="169"/>
        <v>-6.3510392609699817E-2</v>
      </c>
      <c r="Q146" s="14">
        <f t="shared" si="169"/>
        <v>-3.7928221859706346E-2</v>
      </c>
      <c r="R146" s="14">
        <f t="shared" si="169"/>
        <v>-6.5006915629322259E-2</v>
      </c>
      <c r="S146" s="14"/>
      <c r="T146" s="14">
        <f t="shared" ref="T146:U146" si="170">J146/J147-1</f>
        <v>6.0589007690864616E-2</v>
      </c>
      <c r="U146" s="14">
        <f t="shared" si="170"/>
        <v>8.6152401815052349E-2</v>
      </c>
    </row>
    <row r="147" spans="2:21" ht="14.25" customHeight="1">
      <c r="B147" s="13" t="s">
        <v>197</v>
      </c>
      <c r="C147" s="14">
        <v>40837.879999999997</v>
      </c>
      <c r="D147" s="3">
        <v>0.36</v>
      </c>
      <c r="E147" s="3">
        <v>15.06</v>
      </c>
      <c r="F147" s="3">
        <v>25.98</v>
      </c>
      <c r="G147" s="3">
        <v>98.08</v>
      </c>
      <c r="H147" s="3">
        <v>723</v>
      </c>
      <c r="J147" s="3">
        <v>106.62</v>
      </c>
      <c r="K147" s="3">
        <v>639.1</v>
      </c>
      <c r="M147" s="14">
        <f t="shared" ref="M147:R147" si="171">C147/C148-1</f>
        <v>5.282190270115672E-3</v>
      </c>
      <c r="N147" s="14">
        <f t="shared" si="171"/>
        <v>2.8571428571428692E-2</v>
      </c>
      <c r="O147" s="14">
        <f t="shared" si="171"/>
        <v>8.5014409221902065E-2</v>
      </c>
      <c r="P147" s="14">
        <f t="shared" si="171"/>
        <v>4.631494160289984E-2</v>
      </c>
      <c r="Q147" s="14">
        <f t="shared" si="171"/>
        <v>-9.2929292929293528E-3</v>
      </c>
      <c r="R147" s="14">
        <f t="shared" si="171"/>
        <v>5.240174672489073E-2</v>
      </c>
      <c r="S147" s="14"/>
      <c r="T147" s="14">
        <f t="shared" ref="T147:U147" si="172">J147/J148-1</f>
        <v>0.11039366798583639</v>
      </c>
      <c r="U147" s="14">
        <f t="shared" si="172"/>
        <v>-6.806847677097605E-2</v>
      </c>
    </row>
    <row r="148" spans="2:21" ht="14.25" customHeight="1">
      <c r="B148" s="13" t="s">
        <v>198</v>
      </c>
      <c r="C148" s="14">
        <v>40623.300000000003</v>
      </c>
      <c r="D148" s="3">
        <v>0.35</v>
      </c>
      <c r="E148" s="3">
        <v>13.88</v>
      </c>
      <c r="F148" s="3">
        <v>24.83</v>
      </c>
      <c r="G148" s="3">
        <v>99</v>
      </c>
      <c r="H148" s="3">
        <v>687</v>
      </c>
      <c r="J148" s="3">
        <v>96.02</v>
      </c>
      <c r="K148" s="3">
        <v>685.78</v>
      </c>
      <c r="M148" s="14">
        <f t="shared" ref="M148:R148" si="173">C148/C149-1</f>
        <v>-2.3204111154285556E-2</v>
      </c>
      <c r="N148" s="14">
        <f t="shared" si="173"/>
        <v>-2.777777777777779E-2</v>
      </c>
      <c r="O148" s="14">
        <f t="shared" si="173"/>
        <v>3.1203566121842385E-2</v>
      </c>
      <c r="P148" s="14">
        <f t="shared" si="173"/>
        <v>-4.8096192384770031E-3</v>
      </c>
      <c r="Q148" s="14">
        <f t="shared" si="173"/>
        <v>2.5163094128611396E-2</v>
      </c>
      <c r="R148" s="14">
        <f t="shared" si="173"/>
        <v>-2.738058158960277E-2</v>
      </c>
      <c r="S148" s="14"/>
      <c r="T148" s="14">
        <f t="shared" ref="T148:U148" si="174">J148/J149-1</f>
        <v>-8.7175587032988E-2</v>
      </c>
      <c r="U148" s="14">
        <f t="shared" si="174"/>
        <v>7.7145754044640746E-3</v>
      </c>
    </row>
    <row r="149" spans="2:21" ht="14.25" customHeight="1">
      <c r="B149" s="13" t="s">
        <v>199</v>
      </c>
      <c r="C149" s="14">
        <v>41588.32</v>
      </c>
      <c r="D149" s="3">
        <v>0.36</v>
      </c>
      <c r="E149" s="3">
        <v>13.46</v>
      </c>
      <c r="F149" s="3">
        <v>24.95</v>
      </c>
      <c r="G149" s="3">
        <v>96.57</v>
      </c>
      <c r="H149" s="3">
        <v>706.34</v>
      </c>
      <c r="J149" s="3">
        <v>105.19</v>
      </c>
      <c r="K149" s="3">
        <v>680.53</v>
      </c>
      <c r="M149" s="14">
        <f t="shared" ref="M149:R149" si="175">C149/C150-1</f>
        <v>-1.5975021460608585E-2</v>
      </c>
      <c r="N149" s="14">
        <f t="shared" si="175"/>
        <v>5.8823529411764497E-2</v>
      </c>
      <c r="O149" s="14">
        <f t="shared" si="175"/>
        <v>6.0677698975571515E-2</v>
      </c>
      <c r="P149" s="14">
        <f t="shared" si="175"/>
        <v>-3.705133153222695E-2</v>
      </c>
      <c r="Q149" s="14">
        <f t="shared" si="175"/>
        <v>-5.4532993929900186E-2</v>
      </c>
      <c r="R149" s="14">
        <f t="shared" si="175"/>
        <v>0.19066803769195761</v>
      </c>
      <c r="S149" s="14"/>
      <c r="T149" s="14">
        <f t="shared" ref="T149:U149" si="176">J149/J150-1</f>
        <v>9.5978500815816492E-3</v>
      </c>
      <c r="U149" s="14">
        <f t="shared" si="176"/>
        <v>-1.9804689750532956E-2</v>
      </c>
    </row>
    <row r="150" spans="2:21" ht="14.25" customHeight="1">
      <c r="B150" s="13" t="s">
        <v>200</v>
      </c>
      <c r="C150" s="14">
        <v>42263.48</v>
      </c>
      <c r="D150" s="3">
        <v>0.34</v>
      </c>
      <c r="E150" s="3">
        <v>12.69</v>
      </c>
      <c r="F150" s="3">
        <v>25.91</v>
      </c>
      <c r="G150" s="3">
        <v>102.14</v>
      </c>
      <c r="H150" s="3">
        <v>593.23</v>
      </c>
      <c r="J150" s="3">
        <v>104.19</v>
      </c>
      <c r="K150" s="3">
        <v>694.28</v>
      </c>
      <c r="M150" s="14">
        <f t="shared" ref="M150:R150" si="177">C150/C151-1</f>
        <v>-4.1146318869961562E-2</v>
      </c>
      <c r="N150" s="14">
        <f t="shared" si="177"/>
        <v>6.25E-2</v>
      </c>
      <c r="O150" s="14">
        <f t="shared" si="177"/>
        <v>-4.7297297297297369E-2</v>
      </c>
      <c r="P150" s="14">
        <f t="shared" si="177"/>
        <v>3.889334402566158E-2</v>
      </c>
      <c r="Q150" s="14">
        <f t="shared" si="177"/>
        <v>2.4576186177149184E-2</v>
      </c>
      <c r="R150" s="14">
        <f t="shared" si="177"/>
        <v>6.70309530274249E-3</v>
      </c>
      <c r="S150" s="14"/>
      <c r="T150" s="14">
        <f t="shared" ref="T150:U150" si="178">J150/J151-1</f>
        <v>0.10805062214186956</v>
      </c>
      <c r="U150" s="14">
        <f t="shared" si="178"/>
        <v>-9.091557839149389E-3</v>
      </c>
    </row>
    <row r="151" spans="2:21" ht="14.25" customHeight="1">
      <c r="B151" s="13" t="s">
        <v>201</v>
      </c>
      <c r="C151" s="14">
        <v>44077.09</v>
      </c>
      <c r="D151" s="3">
        <v>0.32</v>
      </c>
      <c r="E151" s="3">
        <v>13.32</v>
      </c>
      <c r="F151" s="3">
        <v>24.94</v>
      </c>
      <c r="G151" s="3">
        <v>99.69</v>
      </c>
      <c r="H151" s="3">
        <v>589.28</v>
      </c>
      <c r="J151" s="3">
        <v>94.03</v>
      </c>
      <c r="K151" s="3">
        <v>700.65</v>
      </c>
      <c r="M151" s="14">
        <f t="shared" ref="M151:R151" si="179">C151/C152-1</f>
        <v>-9.9499127286128974E-4</v>
      </c>
      <c r="N151" s="14">
        <f t="shared" si="179"/>
        <v>0</v>
      </c>
      <c r="O151" s="14">
        <f t="shared" si="179"/>
        <v>8.3270249810749597E-3</v>
      </c>
      <c r="P151" s="14">
        <f t="shared" si="179"/>
        <v>5.7227638830012806E-2</v>
      </c>
      <c r="Q151" s="14">
        <f t="shared" si="179"/>
        <v>3.9520333680917563E-2</v>
      </c>
      <c r="R151" s="14">
        <f t="shared" si="179"/>
        <v>-6.3906848183507892E-2</v>
      </c>
      <c r="S151" s="14"/>
      <c r="T151" s="14">
        <f t="shared" ref="T151:U151" si="180">J151/J152-1</f>
        <v>-0.131923929098966</v>
      </c>
      <c r="U151" s="14">
        <f t="shared" si="180"/>
        <v>1.7883604032890688E-2</v>
      </c>
    </row>
    <row r="152" spans="2:21" ht="14.25" customHeight="1">
      <c r="B152" s="13" t="s">
        <v>202</v>
      </c>
      <c r="C152" s="14">
        <v>44120.99</v>
      </c>
      <c r="D152" s="3">
        <v>0.32</v>
      </c>
      <c r="E152" s="3">
        <v>13.21</v>
      </c>
      <c r="F152" s="3">
        <v>23.59</v>
      </c>
      <c r="G152" s="3">
        <v>95.9</v>
      </c>
      <c r="H152" s="3">
        <v>629.51</v>
      </c>
      <c r="J152" s="3">
        <v>108.32</v>
      </c>
      <c r="K152" s="3">
        <v>688.34</v>
      </c>
      <c r="M152" s="14">
        <f t="shared" ref="M152:R152" si="181">C152/C153-1</f>
        <v>-2.5554760959281331E-2</v>
      </c>
      <c r="N152" s="14">
        <f t="shared" si="181"/>
        <v>3.2258064516129004E-2</v>
      </c>
      <c r="O152" s="14">
        <f t="shared" si="181"/>
        <v>-5.2710843373492411E-3</v>
      </c>
      <c r="P152" s="14">
        <f t="shared" si="181"/>
        <v>1.1578044596912473E-2</v>
      </c>
      <c r="Q152" s="14">
        <f t="shared" si="181"/>
        <v>6.4015111764088584E-3</v>
      </c>
      <c r="R152" s="14">
        <f t="shared" si="181"/>
        <v>4.9918276126621919E-2</v>
      </c>
      <c r="S152" s="14"/>
      <c r="T152" s="14">
        <f t="shared" ref="T152:U152" si="182">J152/J153-1</f>
        <v>-1.122774988589692E-2</v>
      </c>
      <c r="U152" s="14">
        <f t="shared" si="182"/>
        <v>9.3436268903291486E-2</v>
      </c>
    </row>
    <row r="153" spans="2:21" ht="14.25" customHeight="1">
      <c r="B153" s="13" t="s">
        <v>203</v>
      </c>
      <c r="C153" s="14">
        <v>45278.06</v>
      </c>
      <c r="D153" s="3">
        <v>0.31</v>
      </c>
      <c r="E153" s="3">
        <v>13.28</v>
      </c>
      <c r="F153" s="3">
        <v>23.32</v>
      </c>
      <c r="G153" s="3">
        <v>95.29</v>
      </c>
      <c r="H153" s="3">
        <v>599.58000000000004</v>
      </c>
      <c r="J153" s="3">
        <v>109.55</v>
      </c>
      <c r="K153" s="3">
        <v>629.52</v>
      </c>
      <c r="M153" s="14">
        <f t="shared" ref="M153:R153" si="183">C153/C154-1</f>
        <v>3.5973004059183689E-2</v>
      </c>
      <c r="N153" s="14">
        <f t="shared" si="183"/>
        <v>0</v>
      </c>
      <c r="O153" s="14">
        <f t="shared" si="183"/>
        <v>5.9011164274322292E-2</v>
      </c>
      <c r="P153" s="14">
        <f t="shared" si="183"/>
        <v>2.5505716798592815E-2</v>
      </c>
      <c r="Q153" s="14">
        <f t="shared" si="183"/>
        <v>8.0263008729169139E-2</v>
      </c>
      <c r="R153" s="14">
        <f t="shared" si="183"/>
        <v>6.953264359614697E-2</v>
      </c>
      <c r="S153" s="14"/>
      <c r="T153" s="14">
        <f t="shared" ref="T153:U153" si="184">J153/J154-1</f>
        <v>4.4626680652235962E-2</v>
      </c>
      <c r="U153" s="14">
        <f t="shared" si="184"/>
        <v>1.8460754981219907E-3</v>
      </c>
    </row>
    <row r="154" spans="2:21" ht="14.25" customHeight="1">
      <c r="B154" s="13" t="s">
        <v>204</v>
      </c>
      <c r="C154" s="14">
        <v>43705.83</v>
      </c>
      <c r="D154" s="3">
        <v>0.31</v>
      </c>
      <c r="E154" s="3">
        <v>12.54</v>
      </c>
      <c r="F154" s="3">
        <v>22.74</v>
      </c>
      <c r="G154" s="3">
        <v>88.21</v>
      </c>
      <c r="H154" s="3">
        <v>560.6</v>
      </c>
      <c r="J154" s="3">
        <v>104.87</v>
      </c>
      <c r="K154" s="3">
        <v>628.36</v>
      </c>
      <c r="M154" s="14">
        <f t="shared" ref="M154:R154" si="185">C154/C155-1</f>
        <v>4.4756214633624003E-2</v>
      </c>
      <c r="N154" s="14">
        <f t="shared" si="185"/>
        <v>3.3333333333333437E-2</v>
      </c>
      <c r="O154" s="14">
        <f t="shared" si="185"/>
        <v>-4.761904761904856E-3</v>
      </c>
      <c r="P154" s="14">
        <f t="shared" si="185"/>
        <v>-5.2894627238650682E-2</v>
      </c>
      <c r="Q154" s="14">
        <f t="shared" si="185"/>
        <v>1.3442095588235059E-2</v>
      </c>
      <c r="R154" s="14">
        <f t="shared" si="185"/>
        <v>5.3957510810302756E-2</v>
      </c>
      <c r="S154" s="14"/>
      <c r="T154" s="14">
        <f t="shared" ref="T154:U154" si="186">J154/J155-1</f>
        <v>0.11480812161156595</v>
      </c>
      <c r="U154" s="14">
        <f t="shared" si="186"/>
        <v>-5.904550831848332E-2</v>
      </c>
    </row>
    <row r="155" spans="2:21" ht="14.25" customHeight="1">
      <c r="B155" s="13" t="s">
        <v>205</v>
      </c>
      <c r="C155" s="14">
        <v>41833.519999999997</v>
      </c>
      <c r="D155" s="3">
        <v>0.3</v>
      </c>
      <c r="E155" s="3">
        <v>12.6</v>
      </c>
      <c r="F155" s="3">
        <v>24.01</v>
      </c>
      <c r="G155" s="3">
        <v>87.04</v>
      </c>
      <c r="H155" s="3">
        <v>531.9</v>
      </c>
      <c r="J155" s="3">
        <v>94.07</v>
      </c>
      <c r="K155" s="3">
        <v>667.79</v>
      </c>
      <c r="M155" s="14">
        <f t="shared" ref="M155:R155" si="187">C155/C156-1</f>
        <v>5.1311918608283325E-3</v>
      </c>
      <c r="N155" s="14">
        <f t="shared" si="187"/>
        <v>0</v>
      </c>
      <c r="O155" s="14">
        <f t="shared" si="187"/>
        <v>8.247422680412364E-2</v>
      </c>
      <c r="P155" s="14">
        <f t="shared" si="187"/>
        <v>-3.9984006397441041E-2</v>
      </c>
      <c r="Q155" s="14">
        <f t="shared" si="187"/>
        <v>2.7649769585254003E-3</v>
      </c>
      <c r="R155" s="14">
        <f t="shared" si="187"/>
        <v>-2.2242647058823617E-2</v>
      </c>
      <c r="S155" s="14"/>
      <c r="T155" s="14">
        <f t="shared" ref="T155:U155" si="188">J155/J156-1</f>
        <v>4.9140049140048436E-3</v>
      </c>
      <c r="U155" s="14">
        <f t="shared" si="188"/>
        <v>9.2981766997283E-2</v>
      </c>
    </row>
    <row r="156" spans="2:21" ht="14.25" customHeight="1">
      <c r="B156" s="13" t="s">
        <v>206</v>
      </c>
      <c r="C156" s="14">
        <v>41619.96</v>
      </c>
      <c r="D156" s="3">
        <v>0.3</v>
      </c>
      <c r="E156" s="3">
        <v>11.64</v>
      </c>
      <c r="F156" s="3">
        <v>25.01</v>
      </c>
      <c r="G156" s="3">
        <v>86.8</v>
      </c>
      <c r="H156" s="3">
        <v>544</v>
      </c>
      <c r="J156" s="3">
        <v>93.61</v>
      </c>
      <c r="K156" s="3">
        <v>610.98</v>
      </c>
      <c r="M156" s="14">
        <f t="shared" ref="M156:R156" si="189">C156/C157-1</f>
        <v>1.8425642621814786E-2</v>
      </c>
      <c r="N156" s="14">
        <f t="shared" si="189"/>
        <v>-9.0909090909090939E-2</v>
      </c>
      <c r="O156" s="14">
        <f t="shared" si="189"/>
        <v>-8.4905660377358472E-2</v>
      </c>
      <c r="P156" s="14">
        <f t="shared" si="189"/>
        <v>1.6666666666666607E-2</v>
      </c>
      <c r="Q156" s="14">
        <f t="shared" si="189"/>
        <v>-5.3950953678474134E-2</v>
      </c>
      <c r="R156" s="14">
        <f t="shared" si="189"/>
        <v>4.2944785276073594E-2</v>
      </c>
      <c r="S156" s="14"/>
      <c r="T156" s="14">
        <f t="shared" ref="T156:U156" si="190">J156/J157-1</f>
        <v>6.3629133053062059E-2</v>
      </c>
      <c r="U156" s="14">
        <f t="shared" si="190"/>
        <v>3.0981067125645412E-2</v>
      </c>
    </row>
    <row r="157" spans="2:21" ht="14.25" customHeight="1">
      <c r="B157" s="13" t="s">
        <v>207</v>
      </c>
      <c r="C157" s="14">
        <v>40866.959999999999</v>
      </c>
      <c r="D157" s="3">
        <v>0.33</v>
      </c>
      <c r="E157" s="3">
        <v>12.72</v>
      </c>
      <c r="F157" s="3">
        <v>24.6</v>
      </c>
      <c r="G157" s="3">
        <v>91.75</v>
      </c>
      <c r="H157" s="3">
        <v>521.6</v>
      </c>
      <c r="J157" s="3">
        <v>88.01</v>
      </c>
      <c r="K157" s="3">
        <v>592.62</v>
      </c>
      <c r="M157" s="14">
        <f t="shared" ref="M157:R157" si="191">C157/C158-1</f>
        <v>3.6662848967508932E-2</v>
      </c>
      <c r="N157" s="14">
        <f t="shared" si="191"/>
        <v>-5.7142857142857051E-2</v>
      </c>
      <c r="O157" s="14">
        <f t="shared" si="191"/>
        <v>2.4979854955681002E-2</v>
      </c>
      <c r="P157" s="14">
        <f t="shared" si="191"/>
        <v>1.6528925619834878E-2</v>
      </c>
      <c r="Q157" s="14">
        <f t="shared" si="191"/>
        <v>2.5254218348418789E-2</v>
      </c>
      <c r="R157" s="14">
        <f t="shared" si="191"/>
        <v>6.351310021408918E-2</v>
      </c>
      <c r="S157" s="14"/>
      <c r="T157" s="14">
        <f t="shared" ref="T157:U157" si="192">J157/J158-1</f>
        <v>4.9737595419847347E-2</v>
      </c>
      <c r="U157" s="14">
        <f t="shared" si="192"/>
        <v>6.2826869523875395E-3</v>
      </c>
    </row>
    <row r="158" spans="2:21" ht="14.25" customHeight="1">
      <c r="B158" s="13" t="s">
        <v>208</v>
      </c>
      <c r="C158" s="14">
        <v>39421.65</v>
      </c>
      <c r="D158" s="3">
        <v>0.35</v>
      </c>
      <c r="E158" s="3">
        <v>12.41</v>
      </c>
      <c r="F158" s="3">
        <v>24.2</v>
      </c>
      <c r="G158" s="3">
        <v>89.49</v>
      </c>
      <c r="H158" s="3">
        <v>490.45</v>
      </c>
      <c r="J158" s="3">
        <v>83.84</v>
      </c>
      <c r="K158" s="3">
        <v>588.91999999999996</v>
      </c>
      <c r="M158" s="14">
        <f t="shared" ref="M158:R158" si="193">C158/C159-1</f>
        <v>-3.1510936933413336E-2</v>
      </c>
      <c r="N158" s="14">
        <f t="shared" si="193"/>
        <v>2.9411764705882248E-2</v>
      </c>
      <c r="O158" s="14">
        <f t="shared" si="193"/>
        <v>6.4322469982847297E-2</v>
      </c>
      <c r="P158" s="14">
        <f t="shared" si="193"/>
        <v>-2.4586860137041477E-2</v>
      </c>
      <c r="Q158" s="14">
        <f t="shared" si="193"/>
        <v>1.4547896150403083E-3</v>
      </c>
      <c r="R158" s="14">
        <f t="shared" si="193"/>
        <v>2.0070715474209688E-2</v>
      </c>
      <c r="S158" s="14"/>
      <c r="T158" s="14">
        <f t="shared" ref="T158:U158" si="194">J158/J159-1</f>
        <v>0.14145677331518036</v>
      </c>
      <c r="U158" s="14">
        <f t="shared" si="194"/>
        <v>2.9760447630704734E-2</v>
      </c>
    </row>
    <row r="159" spans="2:21" ht="14.25" customHeight="1">
      <c r="B159" s="13" t="s">
        <v>209</v>
      </c>
      <c r="C159" s="14">
        <v>40704.28</v>
      </c>
      <c r="D159" s="3">
        <v>0.34</v>
      </c>
      <c r="E159" s="3">
        <v>11.66</v>
      </c>
      <c r="F159" s="3">
        <v>24.81</v>
      </c>
      <c r="G159" s="3">
        <v>89.36</v>
      </c>
      <c r="H159" s="3">
        <v>480.8</v>
      </c>
      <c r="J159" s="3">
        <v>73.45</v>
      </c>
      <c r="K159" s="3">
        <v>571.9</v>
      </c>
      <c r="M159" s="14">
        <f t="shared" ref="M159:R159" si="195">C159/C160-1</f>
        <v>1.2555613184724645E-2</v>
      </c>
      <c r="N159" s="14">
        <f t="shared" si="195"/>
        <v>-2.857142857142847E-2</v>
      </c>
      <c r="O159" s="14">
        <f t="shared" si="195"/>
        <v>2.1015761821365997E-2</v>
      </c>
      <c r="P159" s="14">
        <f t="shared" si="195"/>
        <v>6.7555938037865859E-2</v>
      </c>
      <c r="Q159" s="14">
        <f t="shared" si="195"/>
        <v>9.3753529876878794E-3</v>
      </c>
      <c r="R159" s="14">
        <f t="shared" si="195"/>
        <v>7.3962327403775951E-3</v>
      </c>
      <c r="S159" s="14"/>
      <c r="T159" s="14">
        <f t="shared" ref="T159:U159" si="196">J159/J160-1</f>
        <v>-8.0495743615422999E-2</v>
      </c>
      <c r="U159" s="14">
        <f t="shared" si="196"/>
        <v>-1.5255871616502548E-2</v>
      </c>
    </row>
    <row r="160" spans="2:21" ht="14.25" customHeight="1">
      <c r="B160" s="13" t="s">
        <v>210</v>
      </c>
      <c r="C160" s="14">
        <v>40199.550000000003</v>
      </c>
      <c r="D160" s="3">
        <v>0.35</v>
      </c>
      <c r="E160" s="3">
        <v>11.42</v>
      </c>
      <c r="F160" s="3">
        <v>23.24</v>
      </c>
      <c r="G160" s="3">
        <v>88.53</v>
      </c>
      <c r="H160" s="3">
        <v>477.27</v>
      </c>
      <c r="J160" s="3">
        <v>79.88</v>
      </c>
      <c r="K160" s="3">
        <v>580.76</v>
      </c>
      <c r="M160" s="14">
        <f t="shared" ref="M160:R160" si="197">C160/C161-1</f>
        <v>6.1431707854814777E-2</v>
      </c>
      <c r="N160" s="14">
        <f t="shared" si="197"/>
        <v>0.12903225806451601</v>
      </c>
      <c r="O160" s="14">
        <f t="shared" si="197"/>
        <v>7.2300469483568053E-2</v>
      </c>
      <c r="P160" s="14">
        <f t="shared" si="197"/>
        <v>5.9252506836827479E-2</v>
      </c>
      <c r="Q160" s="14">
        <f t="shared" si="197"/>
        <v>-9.0664875755540608E-3</v>
      </c>
      <c r="R160" s="14">
        <f t="shared" si="197"/>
        <v>1.2989493791786044E-2</v>
      </c>
      <c r="S160" s="14"/>
      <c r="T160" s="14">
        <f t="shared" ref="T160:U160" si="198">J160/J161-1</f>
        <v>0.15751340385451362</v>
      </c>
      <c r="U160" s="14">
        <f t="shared" si="198"/>
        <v>0.11684615384615382</v>
      </c>
    </row>
    <row r="161" spans="2:21" ht="14.25" customHeight="1">
      <c r="B161" s="13" t="s">
        <v>211</v>
      </c>
      <c r="C161" s="14">
        <v>37872.949999999997</v>
      </c>
      <c r="D161" s="3">
        <v>0.31</v>
      </c>
      <c r="E161" s="3">
        <v>10.65</v>
      </c>
      <c r="F161" s="3">
        <v>21.94</v>
      </c>
      <c r="G161" s="3">
        <v>89.34</v>
      </c>
      <c r="H161" s="3">
        <v>471.15</v>
      </c>
      <c r="J161" s="3">
        <v>69.010000000000005</v>
      </c>
      <c r="K161" s="3">
        <v>520</v>
      </c>
      <c r="M161" s="14">
        <f t="shared" ref="M161:R161" si="199">C161/C162-1</f>
        <v>-4.0243531588150416E-2</v>
      </c>
      <c r="N161" s="14">
        <f t="shared" si="199"/>
        <v>-6.0606060606060663E-2</v>
      </c>
      <c r="O161" s="14">
        <f t="shared" si="199"/>
        <v>-8.18965517241379E-2</v>
      </c>
      <c r="P161" s="14">
        <f t="shared" si="199"/>
        <v>0.11710794297352356</v>
      </c>
      <c r="Q161" s="14">
        <f t="shared" si="199"/>
        <v>-8.3222165212929688E-2</v>
      </c>
      <c r="R161" s="14">
        <f t="shared" si="199"/>
        <v>-0.15564516129032258</v>
      </c>
      <c r="S161" s="14"/>
      <c r="T161" s="14">
        <f t="shared" ref="T161:U161" si="200">J161/J162-1</f>
        <v>-7.9252835223482254E-2</v>
      </c>
      <c r="U161" s="14">
        <f t="shared" si="200"/>
        <v>1.2283673032373432E-2</v>
      </c>
    </row>
    <row r="162" spans="2:21" ht="14.25" customHeight="1">
      <c r="B162" s="13" t="s">
        <v>212</v>
      </c>
      <c r="C162" s="14">
        <v>39461</v>
      </c>
      <c r="D162" s="3">
        <v>0.33</v>
      </c>
      <c r="E162" s="3">
        <v>11.6</v>
      </c>
      <c r="F162" s="3">
        <v>19.64</v>
      </c>
      <c r="G162" s="3">
        <v>97.45</v>
      </c>
      <c r="H162" s="3">
        <v>558</v>
      </c>
      <c r="J162" s="3">
        <v>74.95</v>
      </c>
      <c r="K162" s="3">
        <v>513.69000000000005</v>
      </c>
      <c r="M162" s="14">
        <f t="shared" ref="M162:R162" si="201">C162/C163-1</f>
        <v>-1.5242436725162456E-3</v>
      </c>
      <c r="N162" s="14">
        <f t="shared" si="201"/>
        <v>-0.13157894736842102</v>
      </c>
      <c r="O162" s="14">
        <f t="shared" si="201"/>
        <v>0.14511352418558721</v>
      </c>
      <c r="P162" s="14">
        <f t="shared" si="201"/>
        <v>-3.7254901960784181E-2</v>
      </c>
      <c r="Q162" s="14">
        <f t="shared" si="201"/>
        <v>-6.6258919469928124E-3</v>
      </c>
      <c r="R162" s="14">
        <f t="shared" si="201"/>
        <v>-5.7432432432432456E-2</v>
      </c>
      <c r="S162" s="14"/>
      <c r="T162" s="14">
        <f t="shared" ref="T162:U162" si="202">J162/J163-1</f>
        <v>-0.11999530351062582</v>
      </c>
      <c r="U162" s="14">
        <f t="shared" si="202"/>
        <v>3.2708777290820779E-2</v>
      </c>
    </row>
    <row r="163" spans="2:21" ht="14.25" customHeight="1">
      <c r="B163" s="13" t="s">
        <v>213</v>
      </c>
      <c r="C163" s="14">
        <v>39521.24</v>
      </c>
      <c r="D163" s="3">
        <v>0.38</v>
      </c>
      <c r="E163" s="3">
        <v>10.130000000000001</v>
      </c>
      <c r="F163" s="3">
        <v>20.399999999999999</v>
      </c>
      <c r="G163" s="3">
        <v>98.1</v>
      </c>
      <c r="H163" s="3">
        <v>592</v>
      </c>
      <c r="J163" s="3">
        <v>85.17</v>
      </c>
      <c r="K163" s="3">
        <v>497.42</v>
      </c>
      <c r="M163" s="14">
        <f t="shared" ref="M163:R163" si="203">C163/C164-1</f>
        <v>4.5074013616738906E-2</v>
      </c>
      <c r="N163" s="14">
        <f t="shared" si="203"/>
        <v>0</v>
      </c>
      <c r="O163" s="14">
        <f t="shared" si="203"/>
        <v>0.12806236080178168</v>
      </c>
      <c r="P163" s="14">
        <f t="shared" si="203"/>
        <v>3.6058913153885097E-2</v>
      </c>
      <c r="Q163" s="14">
        <f t="shared" si="203"/>
        <v>-1.1885576148267574E-2</v>
      </c>
      <c r="R163" s="14">
        <f t="shared" si="203"/>
        <v>0.16880552813425465</v>
      </c>
      <c r="S163" s="14"/>
      <c r="T163" s="14">
        <f t="shared" ref="T163:U163" si="204">J163/J164-1</f>
        <v>-0.1147489865918303</v>
      </c>
      <c r="U163" s="14">
        <f t="shared" si="204"/>
        <v>-2.8931750741839735E-2</v>
      </c>
    </row>
    <row r="164" spans="2:21" ht="14.25" customHeight="1">
      <c r="B164" s="13" t="s">
        <v>214</v>
      </c>
      <c r="C164" s="14">
        <v>37816.69</v>
      </c>
      <c r="D164" s="3">
        <v>0.38</v>
      </c>
      <c r="E164" s="3">
        <v>8.98</v>
      </c>
      <c r="F164" s="3">
        <v>19.690000000000001</v>
      </c>
      <c r="G164" s="3">
        <v>99.28</v>
      </c>
      <c r="H164" s="3">
        <v>506.5</v>
      </c>
      <c r="J164" s="3">
        <v>96.21</v>
      </c>
      <c r="K164" s="3">
        <v>512.24</v>
      </c>
      <c r="M164" s="14">
        <f t="shared" ref="M164:R164" si="205">C164/C165-1</f>
        <v>1.0528641989296483E-2</v>
      </c>
      <c r="N164" s="14">
        <f t="shared" si="205"/>
        <v>2.7027027027026973E-2</v>
      </c>
      <c r="O164" s="14">
        <f t="shared" si="205"/>
        <v>-7.6131687242798396E-2</v>
      </c>
      <c r="P164" s="14">
        <f t="shared" si="205"/>
        <v>-3.7163814180928956E-2</v>
      </c>
      <c r="Q164" s="14">
        <f t="shared" si="205"/>
        <v>2.3220595658759446E-3</v>
      </c>
      <c r="R164" s="14">
        <f t="shared" si="205"/>
        <v>4.3899422918384223E-2</v>
      </c>
      <c r="S164" s="14"/>
      <c r="T164" s="14">
        <f t="shared" ref="T164:U164" si="206">J164/J165-1</f>
        <v>8.0678960603519645E-3</v>
      </c>
      <c r="U164" s="14">
        <f t="shared" si="206"/>
        <v>-0.12452572209878654</v>
      </c>
    </row>
    <row r="165" spans="2:21" ht="14.25" customHeight="1">
      <c r="B165" s="13" t="s">
        <v>215</v>
      </c>
      <c r="C165" s="14">
        <v>37422.68</v>
      </c>
      <c r="D165" s="3">
        <v>0.37</v>
      </c>
      <c r="E165" s="3">
        <v>9.7200000000000006</v>
      </c>
      <c r="F165" s="3">
        <v>20.45</v>
      </c>
      <c r="G165" s="3">
        <v>99.05</v>
      </c>
      <c r="H165" s="3">
        <v>485.2</v>
      </c>
      <c r="J165" s="3">
        <v>95.44</v>
      </c>
      <c r="K165" s="3">
        <v>585.1</v>
      </c>
      <c r="M165" s="14">
        <f t="shared" ref="M165:R165" si="207">C165/C166-1</f>
        <v>9.3091447324418208E-3</v>
      </c>
      <c r="N165" s="14">
        <f t="shared" si="207"/>
        <v>5.7142857142857162E-2</v>
      </c>
      <c r="O165" s="14">
        <f t="shared" si="207"/>
        <v>0.12369942196531802</v>
      </c>
      <c r="P165" s="14">
        <f t="shared" si="207"/>
        <v>2.6606425702811132E-2</v>
      </c>
      <c r="Q165" s="14">
        <f t="shared" si="207"/>
        <v>-1.2757898933519418E-2</v>
      </c>
      <c r="R165" s="14">
        <f t="shared" si="207"/>
        <v>3.897216274089943E-2</v>
      </c>
      <c r="S165" s="14"/>
      <c r="T165" s="14">
        <f t="shared" ref="T165:U165" si="208">J165/J166-1</f>
        <v>-4.3974757087048011E-2</v>
      </c>
      <c r="U165" s="14">
        <f t="shared" si="208"/>
        <v>0.14277343750000004</v>
      </c>
    </row>
    <row r="166" spans="2:21" ht="14.25" customHeight="1">
      <c r="B166" s="13" t="s">
        <v>216</v>
      </c>
      <c r="C166" s="14">
        <v>37077.519999999997</v>
      </c>
      <c r="D166" s="3">
        <v>0.35</v>
      </c>
      <c r="E166" s="3">
        <v>8.65</v>
      </c>
      <c r="F166" s="3">
        <v>19.920000000000002</v>
      </c>
      <c r="G166" s="3">
        <v>100.33</v>
      </c>
      <c r="H166" s="3">
        <v>467</v>
      </c>
      <c r="J166" s="3">
        <v>99.83</v>
      </c>
      <c r="K166" s="3">
        <v>512</v>
      </c>
      <c r="M166" s="14">
        <f t="shared" ref="M166:R166" si="209">C166/C167-1</f>
        <v>6.7438428527402117E-3</v>
      </c>
      <c r="N166" s="14">
        <f t="shared" si="209"/>
        <v>-0.10256410256410264</v>
      </c>
      <c r="O166" s="14">
        <f t="shared" si="209"/>
        <v>-9.9895941727367266E-2</v>
      </c>
      <c r="P166" s="14">
        <f t="shared" si="209"/>
        <v>1.4773306164034716E-2</v>
      </c>
      <c r="Q166" s="14">
        <f t="shared" si="209"/>
        <v>5.0355946398660034E-2</v>
      </c>
      <c r="R166" s="14">
        <f t="shared" si="209"/>
        <v>0.1253012048192772</v>
      </c>
      <c r="S166" s="14"/>
      <c r="T166" s="14">
        <f t="shared" ref="T166:U166" si="210">J166/J167-1</f>
        <v>3.9570967406018953E-2</v>
      </c>
      <c r="U166" s="14">
        <f t="shared" si="210"/>
        <v>2.607266678690956E-2</v>
      </c>
    </row>
    <row r="167" spans="2:21" ht="14.25" customHeight="1">
      <c r="B167" s="13" t="s">
        <v>217</v>
      </c>
      <c r="C167" s="14">
        <v>36829.15</v>
      </c>
      <c r="D167" s="3">
        <v>0.39</v>
      </c>
      <c r="E167" s="3">
        <v>9.61</v>
      </c>
      <c r="F167" s="3">
        <v>19.63</v>
      </c>
      <c r="G167" s="3">
        <v>95.52</v>
      </c>
      <c r="H167" s="3">
        <v>415</v>
      </c>
      <c r="J167" s="3">
        <v>96.03</v>
      </c>
      <c r="K167" s="3">
        <v>498.99</v>
      </c>
      <c r="M167" s="14">
        <f t="shared" ref="M167:R167" si="211">C167/C168-1</f>
        <v>1.8505536091132813E-2</v>
      </c>
      <c r="N167" s="14">
        <f t="shared" si="211"/>
        <v>5.4054054054054168E-2</v>
      </c>
      <c r="O167" s="14">
        <f t="shared" si="211"/>
        <v>-0.10018726591760307</v>
      </c>
      <c r="P167" s="14">
        <f t="shared" si="211"/>
        <v>3.8075092543627731E-2</v>
      </c>
      <c r="Q167" s="14">
        <f t="shared" si="211"/>
        <v>2.8756058158319941E-2</v>
      </c>
      <c r="R167" s="14">
        <f t="shared" si="211"/>
        <v>-0.11172945205479445</v>
      </c>
      <c r="S167" s="14"/>
      <c r="T167" s="14">
        <f t="shared" ref="T167:U167" si="212">J167/J168-1</f>
        <v>-5.0242310355058883E-2</v>
      </c>
      <c r="U167" s="14">
        <f t="shared" si="212"/>
        <v>9.8371120405018608E-2</v>
      </c>
    </row>
    <row r="168" spans="2:21" ht="14.25" customHeight="1">
      <c r="B168" s="13" t="s">
        <v>218</v>
      </c>
      <c r="C168" s="14">
        <v>36159.99</v>
      </c>
      <c r="D168" s="3">
        <v>0.37</v>
      </c>
      <c r="E168" s="3">
        <v>10.68</v>
      </c>
      <c r="F168" s="3">
        <v>18.91</v>
      </c>
      <c r="G168" s="3">
        <v>92.85</v>
      </c>
      <c r="H168" s="3">
        <v>467.2</v>
      </c>
      <c r="J168" s="3">
        <v>101.11</v>
      </c>
      <c r="K168" s="3">
        <v>454.3</v>
      </c>
      <c r="M168" s="14">
        <f t="shared" ref="M168:R168" si="213">C168/C169-1</f>
        <v>7.9297012113440868E-2</v>
      </c>
      <c r="N168" s="14">
        <f t="shared" si="213"/>
        <v>0.19354838709677424</v>
      </c>
      <c r="O168" s="14">
        <f t="shared" si="213"/>
        <v>-1.2025901942645745E-2</v>
      </c>
      <c r="P168" s="14">
        <f t="shared" si="213"/>
        <v>9.3063583815028883E-2</v>
      </c>
      <c r="Q168" s="14">
        <f t="shared" si="213"/>
        <v>5.7276246868594782E-2</v>
      </c>
      <c r="R168" s="14">
        <f t="shared" si="213"/>
        <v>0.1105300689327311</v>
      </c>
      <c r="S168" s="14"/>
      <c r="T168" s="14">
        <f t="shared" ref="T168:U168" si="214">J168/J169-1</f>
        <v>7.1534548537515841E-2</v>
      </c>
      <c r="U168" s="14">
        <f t="shared" si="214"/>
        <v>-2.0905172413793083E-2</v>
      </c>
    </row>
    <row r="169" spans="2:21" ht="14.25" customHeight="1">
      <c r="B169" s="13" t="s">
        <v>219</v>
      </c>
      <c r="C169" s="14">
        <v>33503.279999999999</v>
      </c>
      <c r="D169" s="3">
        <v>0.31</v>
      </c>
      <c r="E169" s="3">
        <v>10.81</v>
      </c>
      <c r="F169" s="3">
        <v>17.3</v>
      </c>
      <c r="G169" s="3">
        <v>87.82</v>
      </c>
      <c r="H169" s="3">
        <v>420.7</v>
      </c>
      <c r="J169" s="3">
        <v>94.36</v>
      </c>
      <c r="K169" s="3">
        <v>464</v>
      </c>
      <c r="M169" s="14">
        <f t="shared" ref="M169:R169" si="215">C169/C170-1</f>
        <v>-6.2087113778691028E-2</v>
      </c>
      <c r="N169" s="14">
        <f t="shared" si="215"/>
        <v>-6.0606060606060663E-2</v>
      </c>
      <c r="O169" s="14">
        <f t="shared" si="215"/>
        <v>4.646840148698983E-3</v>
      </c>
      <c r="P169" s="14">
        <f t="shared" si="215"/>
        <v>-2.425267907501405E-2</v>
      </c>
      <c r="Q169" s="14">
        <f t="shared" si="215"/>
        <v>-2.8647273531689055E-2</v>
      </c>
      <c r="R169" s="14">
        <f t="shared" si="215"/>
        <v>-8.939393939393947E-2</v>
      </c>
      <c r="S169" s="14"/>
      <c r="T169" s="14">
        <f t="shared" ref="T169:U169" si="216">J169/J170-1</f>
        <v>2.9761904761904656E-3</v>
      </c>
      <c r="U169" s="14">
        <f t="shared" si="216"/>
        <v>3.4674991637863695E-2</v>
      </c>
    </row>
    <row r="170" spans="2:21" ht="14.25" customHeight="1">
      <c r="B170" s="13" t="s">
        <v>220</v>
      </c>
      <c r="C170" s="14">
        <v>35721.1</v>
      </c>
      <c r="D170" s="3">
        <v>0.33</v>
      </c>
      <c r="E170" s="3">
        <v>10.76</v>
      </c>
      <c r="F170" s="3">
        <v>17.73</v>
      </c>
      <c r="G170" s="3">
        <v>90.41</v>
      </c>
      <c r="H170" s="3">
        <v>462</v>
      </c>
      <c r="J170" s="3">
        <v>94.08</v>
      </c>
      <c r="K170" s="3">
        <v>448.45</v>
      </c>
      <c r="M170" s="14">
        <f t="shared" ref="M170:R170" si="217">C170/C171-1</f>
        <v>-7.729030587782959E-3</v>
      </c>
      <c r="N170" s="14">
        <f t="shared" si="217"/>
        <v>-5.7142857142857051E-2</v>
      </c>
      <c r="O170" s="14">
        <f t="shared" si="217"/>
        <v>-3.3243486073674888E-2</v>
      </c>
      <c r="P170" s="14">
        <f t="shared" si="217"/>
        <v>9.1064314171884764E-3</v>
      </c>
      <c r="Q170" s="14">
        <f t="shared" si="217"/>
        <v>4.5444033302497688E-2</v>
      </c>
      <c r="R170" s="14">
        <f t="shared" si="217"/>
        <v>-2.8023226457965178E-2</v>
      </c>
      <c r="S170" s="14"/>
      <c r="T170" s="14">
        <f t="shared" ref="T170:U170" si="218">J170/J171-1</f>
        <v>-8.1967213114754189E-2</v>
      </c>
      <c r="U170" s="14">
        <f t="shared" si="218"/>
        <v>1.4592760180995423E-2</v>
      </c>
    </row>
    <row r="171" spans="2:21" ht="14.25" customHeight="1">
      <c r="B171" s="13" t="s">
        <v>221</v>
      </c>
      <c r="C171" s="14">
        <v>35999.339999999997</v>
      </c>
      <c r="D171" s="3">
        <v>0.35</v>
      </c>
      <c r="E171" s="3">
        <v>11.13</v>
      </c>
      <c r="F171" s="3">
        <v>17.57</v>
      </c>
      <c r="G171" s="3">
        <v>86.48</v>
      </c>
      <c r="H171" s="3">
        <v>475.32</v>
      </c>
      <c r="J171" s="3">
        <v>102.48</v>
      </c>
      <c r="K171" s="3">
        <v>442</v>
      </c>
      <c r="M171" s="14">
        <f t="shared" ref="M171:R171" si="219">C171/C172-1</f>
        <v>-1.5283356041497886E-2</v>
      </c>
      <c r="N171" s="14">
        <f t="shared" si="219"/>
        <v>-0.12500000000000011</v>
      </c>
      <c r="O171" s="14">
        <f t="shared" si="219"/>
        <v>8.9041095890410871E-2</v>
      </c>
      <c r="P171" s="14">
        <f t="shared" si="219"/>
        <v>-7.905138339921014E-3</v>
      </c>
      <c r="Q171" s="14">
        <f t="shared" si="219"/>
        <v>2.5616698292220352E-2</v>
      </c>
      <c r="R171" s="14">
        <f t="shared" si="219"/>
        <v>-3.5220125786163958E-3</v>
      </c>
      <c r="S171" s="14"/>
      <c r="T171" s="14">
        <f t="shared" ref="T171:U171" si="220">J171/J172-1</f>
        <v>-0.10097376962891469</v>
      </c>
      <c r="U171" s="14">
        <f t="shared" si="220"/>
        <v>1.2912579570940608E-3</v>
      </c>
    </row>
    <row r="172" spans="2:21" ht="14.25" customHeight="1">
      <c r="B172" s="13" t="s">
        <v>222</v>
      </c>
      <c r="C172" s="14">
        <v>36558.07</v>
      </c>
      <c r="D172" s="3">
        <v>0.4</v>
      </c>
      <c r="E172" s="3">
        <v>10.220000000000001</v>
      </c>
      <c r="F172" s="3">
        <v>17.71</v>
      </c>
      <c r="G172" s="3">
        <v>84.32</v>
      </c>
      <c r="H172" s="3">
        <v>477</v>
      </c>
      <c r="J172" s="3">
        <v>113.99</v>
      </c>
      <c r="K172" s="3">
        <v>441.43</v>
      </c>
      <c r="M172" s="14">
        <f t="shared" ref="M172:R172" si="221">C172/C173-1</f>
        <v>2.0240678998202366E-2</v>
      </c>
      <c r="N172" s="14">
        <f t="shared" si="221"/>
        <v>-0.19999999999999996</v>
      </c>
      <c r="O172" s="14">
        <f t="shared" si="221"/>
        <v>3.9674465920651159E-2</v>
      </c>
      <c r="P172" s="14">
        <f t="shared" si="221"/>
        <v>-3.802281368821292E-2</v>
      </c>
      <c r="Q172" s="14">
        <f t="shared" si="221"/>
        <v>3.4093696345351754E-2</v>
      </c>
      <c r="R172" s="14">
        <f t="shared" si="221"/>
        <v>-3.9603761048583652E-2</v>
      </c>
      <c r="S172" s="14"/>
      <c r="T172" s="14">
        <f t="shared" ref="T172:U172" si="222">J172/J173-1</f>
        <v>5.2914719111032404E-3</v>
      </c>
      <c r="U172" s="14">
        <f t="shared" si="222"/>
        <v>6.3558607396699163E-2</v>
      </c>
    </row>
    <row r="173" spans="2:21" ht="14.25" customHeight="1">
      <c r="B173" s="13" t="s">
        <v>223</v>
      </c>
      <c r="C173" s="14">
        <v>35832.79</v>
      </c>
      <c r="D173" s="3">
        <v>0.5</v>
      </c>
      <c r="E173" s="3">
        <v>9.83</v>
      </c>
      <c r="F173" s="3">
        <v>18.41</v>
      </c>
      <c r="G173" s="3">
        <v>81.540000000000006</v>
      </c>
      <c r="H173" s="3">
        <v>496.67</v>
      </c>
      <c r="J173" s="3">
        <v>113.39</v>
      </c>
      <c r="K173" s="3">
        <v>415.05</v>
      </c>
      <c r="M173" s="14">
        <f t="shared" ref="M173:R173" si="223">C173/C174-1</f>
        <v>-3.0566826702219774E-2</v>
      </c>
      <c r="N173" s="14">
        <f t="shared" si="223"/>
        <v>0</v>
      </c>
      <c r="O173" s="14">
        <f t="shared" si="223"/>
        <v>4.0858018386109585E-3</v>
      </c>
      <c r="P173" s="14">
        <f t="shared" si="223"/>
        <v>4.3644298963450012E-3</v>
      </c>
      <c r="Q173" s="14">
        <f t="shared" si="223"/>
        <v>4.1246328693653522E-2</v>
      </c>
      <c r="R173" s="14">
        <f t="shared" si="223"/>
        <v>-5.1341801165122658E-2</v>
      </c>
      <c r="S173" s="14"/>
      <c r="T173" s="14">
        <f t="shared" ref="T173:U173" si="224">J173/J174-1</f>
        <v>-8.4235180100145302E-2</v>
      </c>
      <c r="U173" s="14">
        <f t="shared" si="224"/>
        <v>-4.318100035984207E-3</v>
      </c>
    </row>
    <row r="174" spans="2:21" ht="14.25" customHeight="1">
      <c r="B174" s="13" t="s">
        <v>224</v>
      </c>
      <c r="C174" s="14">
        <v>36962.620000000003</v>
      </c>
      <c r="D174" s="3">
        <v>0.5</v>
      </c>
      <c r="E174" s="3">
        <v>9.7899999999999991</v>
      </c>
      <c r="F174" s="3">
        <v>18.329999999999998</v>
      </c>
      <c r="G174" s="3">
        <v>78.31</v>
      </c>
      <c r="H174" s="3">
        <v>523.54999999999995</v>
      </c>
      <c r="J174" s="3">
        <v>123.82</v>
      </c>
      <c r="K174" s="3">
        <v>416.85</v>
      </c>
      <c r="M174" s="14">
        <f t="shared" ref="M174:R174" si="225">C174/C175-1</f>
        <v>-1.2763982114559869E-2</v>
      </c>
      <c r="N174" s="14">
        <f t="shared" si="225"/>
        <v>8.6956521739130377E-2</v>
      </c>
      <c r="O174" s="14">
        <f t="shared" si="225"/>
        <v>8.6570477247502664E-2</v>
      </c>
      <c r="P174" s="14">
        <f t="shared" si="225"/>
        <v>5.6484149855907662E-2</v>
      </c>
      <c r="Q174" s="14">
        <f t="shared" si="225"/>
        <v>2.9175975818110045E-2</v>
      </c>
      <c r="R174" s="14">
        <f t="shared" si="225"/>
        <v>-4.3394847432852157E-2</v>
      </c>
      <c r="S174" s="14"/>
      <c r="T174" s="14">
        <f t="shared" ref="T174:U174" si="226">J174/J175-1</f>
        <v>4.2431385755177464E-2</v>
      </c>
      <c r="U174" s="14">
        <f t="shared" si="226"/>
        <v>-7.9487850734191179E-3</v>
      </c>
    </row>
    <row r="175" spans="2:21" ht="14.25" customHeight="1">
      <c r="B175" s="13" t="s">
        <v>225</v>
      </c>
      <c r="C175" s="14">
        <v>37440.51</v>
      </c>
      <c r="D175" s="3">
        <v>0.46</v>
      </c>
      <c r="E175" s="3">
        <v>9.01</v>
      </c>
      <c r="F175" s="3">
        <v>17.350000000000001</v>
      </c>
      <c r="G175" s="3">
        <v>76.09</v>
      </c>
      <c r="H175" s="3">
        <v>547.29999999999995</v>
      </c>
      <c r="J175" s="3">
        <v>118.78</v>
      </c>
      <c r="K175" s="3">
        <v>420.19</v>
      </c>
      <c r="M175" s="14">
        <f t="shared" ref="M175:R175" si="227">C175/C176-1</f>
        <v>1.1367190982098929E-2</v>
      </c>
      <c r="N175" s="14">
        <f t="shared" si="227"/>
        <v>-0.19298245614035081</v>
      </c>
      <c r="O175" s="14">
        <f t="shared" si="227"/>
        <v>4.0415704387990692E-2</v>
      </c>
      <c r="P175" s="14">
        <f t="shared" si="227"/>
        <v>1.1540680900175015E-3</v>
      </c>
      <c r="Q175" s="14">
        <f t="shared" si="227"/>
        <v>5.4175475687103791E-3</v>
      </c>
      <c r="R175" s="14">
        <f t="shared" si="227"/>
        <v>-2.9609929078014297E-2</v>
      </c>
      <c r="S175" s="14"/>
      <c r="T175" s="14">
        <f t="shared" ref="T175:U175" si="228">J175/J176-1</f>
        <v>-3.2972400879264008E-2</v>
      </c>
      <c r="U175" s="14">
        <f t="shared" si="228"/>
        <v>-1.5948477751756451E-2</v>
      </c>
    </row>
    <row r="176" spans="2:21" ht="14.25" customHeight="1">
      <c r="B176" s="13" t="s">
        <v>226</v>
      </c>
      <c r="C176" s="14">
        <v>37019.699999999997</v>
      </c>
      <c r="D176" s="3">
        <v>0.56999999999999995</v>
      </c>
      <c r="E176" s="3">
        <v>8.66</v>
      </c>
      <c r="F176" s="3">
        <v>17.329999999999998</v>
      </c>
      <c r="G176" s="3">
        <v>75.680000000000007</v>
      </c>
      <c r="H176" s="3">
        <v>564</v>
      </c>
      <c r="J176" s="3">
        <v>122.83</v>
      </c>
      <c r="K176" s="3">
        <v>427</v>
      </c>
      <c r="M176" s="14">
        <f t="shared" ref="M176:R176" si="229">C176/C177-1</f>
        <v>1.0129186333764917E-3</v>
      </c>
      <c r="N176" s="14">
        <f t="shared" si="229"/>
        <v>-5.0000000000000044E-2</v>
      </c>
      <c r="O176" s="14">
        <f t="shared" si="229"/>
        <v>2.1226415094339535E-2</v>
      </c>
      <c r="P176" s="14">
        <f t="shared" si="229"/>
        <v>-7.2766185125735849E-2</v>
      </c>
      <c r="Q176" s="14">
        <f t="shared" si="229"/>
        <v>2.7283833310709937E-2</v>
      </c>
      <c r="R176" s="14">
        <f t="shared" si="229"/>
        <v>3.6764705882353033E-2</v>
      </c>
      <c r="S176" s="14"/>
      <c r="T176" s="14">
        <f t="shared" ref="T176:U176" si="230">J176/J177-1</f>
        <v>-1.0791656599822841E-2</v>
      </c>
      <c r="U176" s="14">
        <f t="shared" si="230"/>
        <v>-2.6469984724470486E-2</v>
      </c>
    </row>
    <row r="177" spans="2:21" ht="14.25" customHeight="1">
      <c r="B177" s="13" t="s">
        <v>227</v>
      </c>
      <c r="C177" s="14">
        <v>36982.239999999998</v>
      </c>
      <c r="D177" s="3">
        <v>0.6</v>
      </c>
      <c r="E177" s="3">
        <v>8.48</v>
      </c>
      <c r="F177" s="3">
        <v>18.690000000000001</v>
      </c>
      <c r="G177" s="3">
        <v>73.67</v>
      </c>
      <c r="H177" s="3">
        <v>544</v>
      </c>
      <c r="J177" s="3">
        <v>124.17</v>
      </c>
      <c r="K177" s="3">
        <v>438.61</v>
      </c>
      <c r="M177" s="14">
        <f t="shared" ref="M177:R177" si="231">C177/C178-1</f>
        <v>-4.0687882141974385E-2</v>
      </c>
      <c r="N177" s="14">
        <f t="shared" si="231"/>
        <v>0.53846153846153832</v>
      </c>
      <c r="O177" s="14">
        <f t="shared" si="231"/>
        <v>-5.7777777777777706E-2</v>
      </c>
      <c r="P177" s="14">
        <f t="shared" si="231"/>
        <v>3.9488320355951068E-2</v>
      </c>
      <c r="Q177" s="14">
        <f t="shared" si="231"/>
        <v>-4.0255341323606086E-2</v>
      </c>
      <c r="R177" s="14">
        <f t="shared" si="231"/>
        <v>3.6585365853658569E-2</v>
      </c>
      <c r="S177" s="14"/>
      <c r="T177" s="14">
        <f t="shared" ref="T177:U177" si="232">J177/J178-1</f>
        <v>0.19382751658494368</v>
      </c>
      <c r="U177" s="14">
        <f t="shared" si="232"/>
        <v>-4.1813216821409038E-2</v>
      </c>
    </row>
    <row r="178" spans="2:21" ht="14.25" customHeight="1">
      <c r="B178" s="13" t="s">
        <v>228</v>
      </c>
      <c r="C178" s="14">
        <v>38550.79</v>
      </c>
      <c r="D178" s="3">
        <v>0.39</v>
      </c>
      <c r="E178" s="3">
        <v>9</v>
      </c>
      <c r="F178" s="3">
        <v>17.98</v>
      </c>
      <c r="G178" s="3">
        <v>76.760000000000005</v>
      </c>
      <c r="H178" s="3">
        <v>524.79999999999995</v>
      </c>
      <c r="J178" s="3">
        <v>104.01</v>
      </c>
      <c r="K178" s="3">
        <v>457.75</v>
      </c>
      <c r="M178" s="14">
        <f t="shared" ref="M178:R178" si="233">C178/C179-1</f>
        <v>4.7083003325608663E-2</v>
      </c>
      <c r="N178" s="14">
        <f t="shared" si="233"/>
        <v>0.14705882352941169</v>
      </c>
      <c r="O178" s="14">
        <f t="shared" si="233"/>
        <v>2.6225769669327326E-2</v>
      </c>
      <c r="P178" s="14">
        <f t="shared" si="233"/>
        <v>-2.7731558513588439E-3</v>
      </c>
      <c r="Q178" s="14">
        <f t="shared" si="233"/>
        <v>-1.9667943805874777E-2</v>
      </c>
      <c r="R178" s="14">
        <f t="shared" si="233"/>
        <v>0.1164294679515816</v>
      </c>
      <c r="S178" s="14"/>
      <c r="T178" s="14">
        <f t="shared" ref="T178:U178" si="234">J178/J179-1</f>
        <v>7.0722668313774051E-2</v>
      </c>
      <c r="U178" s="14">
        <f t="shared" si="234"/>
        <v>4.6285714285714263E-2</v>
      </c>
    </row>
    <row r="179" spans="2:21" ht="14.25" customHeight="1">
      <c r="B179" s="13" t="s">
        <v>229</v>
      </c>
      <c r="C179" s="14">
        <v>36817.32</v>
      </c>
      <c r="D179" s="3">
        <v>0.34</v>
      </c>
      <c r="E179" s="3">
        <v>8.77</v>
      </c>
      <c r="F179" s="3">
        <v>18.03</v>
      </c>
      <c r="G179" s="3">
        <v>78.3</v>
      </c>
      <c r="H179" s="3">
        <v>470.07</v>
      </c>
      <c r="J179" s="3">
        <v>97.14</v>
      </c>
      <c r="K179" s="3">
        <v>437.5</v>
      </c>
      <c r="M179" s="14">
        <f t="shared" ref="M179:R179" si="235">C179/C180-1</f>
        <v>3.5118428754657982E-2</v>
      </c>
      <c r="N179" s="14">
        <f t="shared" si="235"/>
        <v>0.13333333333333353</v>
      </c>
      <c r="O179" s="14">
        <f t="shared" si="235"/>
        <v>6.1743341404358221E-2</v>
      </c>
      <c r="P179" s="14">
        <f t="shared" si="235"/>
        <v>-1.6611295681061566E-3</v>
      </c>
      <c r="Q179" s="14">
        <f t="shared" si="235"/>
        <v>6.8149672110069393E-3</v>
      </c>
      <c r="R179" s="14">
        <f t="shared" si="235"/>
        <v>6.8110261517702053E-3</v>
      </c>
      <c r="S179" s="14"/>
      <c r="T179" s="14">
        <f t="shared" ref="T179:U179" si="236">J179/J180-1</f>
        <v>-0.27382821260372281</v>
      </c>
      <c r="U179" s="14">
        <f t="shared" si="236"/>
        <v>-2.3764364610063593E-2</v>
      </c>
    </row>
    <row r="180" spans="2:21" ht="14.25" customHeight="1">
      <c r="B180" s="13" t="s">
        <v>230</v>
      </c>
      <c r="C180" s="14">
        <v>35568.22</v>
      </c>
      <c r="D180" s="3">
        <v>0.3</v>
      </c>
      <c r="E180" s="3">
        <v>8.26</v>
      </c>
      <c r="F180" s="3">
        <v>18.059999999999999</v>
      </c>
      <c r="G180" s="3">
        <v>77.77</v>
      </c>
      <c r="H180" s="3">
        <v>466.89</v>
      </c>
      <c r="J180" s="3">
        <v>133.77000000000001</v>
      </c>
      <c r="K180" s="3">
        <v>448.15</v>
      </c>
      <c r="M180" s="14">
        <f t="shared" ref="M180:R180" si="237">C180/C181-1</f>
        <v>6.7142429390159464E-2</v>
      </c>
      <c r="N180" s="14">
        <f t="shared" si="237"/>
        <v>3.4482758620689724E-2</v>
      </c>
      <c r="O180" s="14">
        <f t="shared" si="237"/>
        <v>5.2229299363057313E-2</v>
      </c>
      <c r="P180" s="14">
        <f t="shared" si="237"/>
        <v>1.2331838565022402E-2</v>
      </c>
      <c r="Q180" s="14">
        <f t="shared" si="237"/>
        <v>4.3752516440746181E-2</v>
      </c>
      <c r="R180" s="14">
        <f t="shared" si="237"/>
        <v>-3.8153313693578661E-2</v>
      </c>
      <c r="S180" s="14"/>
      <c r="T180" s="14">
        <f t="shared" ref="T180:U180" si="238">J180/J181-1</f>
        <v>-5.2284803400637569E-2</v>
      </c>
      <c r="U180" s="14">
        <f t="shared" si="238"/>
        <v>3.1510380702481244E-2</v>
      </c>
    </row>
    <row r="181" spans="2:21" ht="14.25" customHeight="1">
      <c r="B181" s="13" t="s">
        <v>231</v>
      </c>
      <c r="C181" s="14">
        <v>33330.339999999997</v>
      </c>
      <c r="D181" s="3">
        <v>0.28999999999999998</v>
      </c>
      <c r="E181" s="3">
        <v>7.85</v>
      </c>
      <c r="F181" s="3">
        <v>17.84</v>
      </c>
      <c r="G181" s="3">
        <v>74.510000000000005</v>
      </c>
      <c r="H181" s="3">
        <v>485.41</v>
      </c>
      <c r="J181" s="3">
        <v>141.15</v>
      </c>
      <c r="K181" s="3">
        <v>434.46</v>
      </c>
      <c r="M181" s="14">
        <f t="shared" ref="M181:R181" si="239">C181/C182-1</f>
        <v>5.2099047186145109E-2</v>
      </c>
      <c r="N181" s="14">
        <f t="shared" si="239"/>
        <v>0.26086956521739113</v>
      </c>
      <c r="O181" s="14">
        <f t="shared" si="239"/>
        <v>0.25801282051282048</v>
      </c>
      <c r="P181" s="14">
        <f t="shared" si="239"/>
        <v>6.7624177139437469E-2</v>
      </c>
      <c r="Q181" s="14">
        <f t="shared" si="239"/>
        <v>1.9846701341363238E-2</v>
      </c>
      <c r="R181" s="14">
        <f t="shared" si="239"/>
        <v>1.0218522372528627E-2</v>
      </c>
      <c r="S181" s="14"/>
      <c r="T181" s="14">
        <f t="shared" ref="T181:U181" si="240">J181/J182-1</f>
        <v>6.9480224276405655E-2</v>
      </c>
      <c r="U181" s="14">
        <f t="shared" si="240"/>
        <v>2.5516346040363569E-2</v>
      </c>
    </row>
    <row r="182" spans="2:21" ht="14.25" customHeight="1">
      <c r="B182" s="13" t="s">
        <v>232</v>
      </c>
      <c r="C182" s="14">
        <v>31679.85</v>
      </c>
      <c r="D182" s="3">
        <v>0.23</v>
      </c>
      <c r="E182" s="3">
        <v>6.24</v>
      </c>
      <c r="F182" s="3">
        <v>16.71</v>
      </c>
      <c r="G182" s="3">
        <v>73.06</v>
      </c>
      <c r="H182" s="3">
        <v>480.5</v>
      </c>
      <c r="J182" s="3">
        <v>131.97999999999999</v>
      </c>
      <c r="K182" s="3">
        <v>423.65</v>
      </c>
      <c r="M182" s="14">
        <f t="shared" ref="M182:R182" si="241">C182/C183-1</f>
        <v>-1.9465011634622775E-2</v>
      </c>
      <c r="N182" s="14">
        <f t="shared" si="241"/>
        <v>0</v>
      </c>
      <c r="O182" s="14">
        <f t="shared" si="241"/>
        <v>5.9422750424448223E-2</v>
      </c>
      <c r="P182" s="14">
        <f t="shared" si="241"/>
        <v>-2.0515826494724387E-2</v>
      </c>
      <c r="Q182" s="14">
        <f t="shared" si="241"/>
        <v>4.7755628854151633E-2</v>
      </c>
      <c r="R182" s="14">
        <f t="shared" si="241"/>
        <v>-6.2987519500779965E-2</v>
      </c>
      <c r="S182" s="14"/>
      <c r="T182" s="14">
        <f t="shared" ref="T182:U182" si="242">J182/J183-1</f>
        <v>-0.13716004184100428</v>
      </c>
      <c r="U182" s="14">
        <f t="shared" si="242"/>
        <v>-5.2661001788908757E-2</v>
      </c>
    </row>
    <row r="183" spans="2:21" ht="14.25" customHeight="1">
      <c r="B183" s="13" t="s">
        <v>233</v>
      </c>
      <c r="C183" s="14">
        <v>32308.74</v>
      </c>
      <c r="D183" s="3">
        <v>0.23</v>
      </c>
      <c r="E183" s="3">
        <v>5.89</v>
      </c>
      <c r="F183" s="3">
        <v>17.059999999999999</v>
      </c>
      <c r="G183" s="3">
        <v>69.73</v>
      </c>
      <c r="H183" s="3">
        <v>512.79999999999995</v>
      </c>
      <c r="J183" s="3">
        <v>152.96</v>
      </c>
      <c r="K183" s="3">
        <v>447.2</v>
      </c>
      <c r="M183" s="14">
        <f t="shared" ref="M183:R183" si="243">C183/C184-1</f>
        <v>3.6966688352558119E-2</v>
      </c>
      <c r="N183" s="14">
        <f t="shared" si="243"/>
        <v>-0.11538461538461542</v>
      </c>
      <c r="O183" s="14">
        <f t="shared" si="243"/>
        <v>7.8754578754578697E-2</v>
      </c>
      <c r="P183" s="14">
        <f t="shared" si="243"/>
        <v>6.4918851435705305E-2</v>
      </c>
      <c r="Q183" s="14">
        <f t="shared" si="243"/>
        <v>5.8600273265523084E-2</v>
      </c>
      <c r="R183" s="14">
        <f t="shared" si="243"/>
        <v>7.190635451505023E-2</v>
      </c>
      <c r="S183" s="14"/>
      <c r="T183" s="14">
        <f t="shared" ref="T183:U183" si="244">J183/J184-1</f>
        <v>0.26622516556291398</v>
      </c>
      <c r="U183" s="14">
        <f t="shared" si="244"/>
        <v>5.4861048655454603E-3</v>
      </c>
    </row>
    <row r="184" spans="2:21" ht="14.25" customHeight="1">
      <c r="B184" s="13" t="s">
        <v>234</v>
      </c>
      <c r="C184" s="14">
        <v>31156.97</v>
      </c>
      <c r="D184" s="3">
        <v>0.26</v>
      </c>
      <c r="E184" s="3">
        <v>5.46</v>
      </c>
      <c r="F184" s="3">
        <v>16.02</v>
      </c>
      <c r="G184" s="3">
        <v>65.87</v>
      </c>
      <c r="H184" s="3">
        <v>478.4</v>
      </c>
      <c r="J184" s="3">
        <v>120.8</v>
      </c>
      <c r="K184" s="3">
        <v>444.76</v>
      </c>
      <c r="M184" s="14">
        <f t="shared" ref="M184:R184" si="245">C184/C185-1</f>
        <v>-2.7515619474426489E-2</v>
      </c>
      <c r="N184" s="14">
        <f t="shared" si="245"/>
        <v>-0.21212121212121215</v>
      </c>
      <c r="O184" s="14">
        <f t="shared" si="245"/>
        <v>-0.12918660287081329</v>
      </c>
      <c r="P184" s="14">
        <f t="shared" si="245"/>
        <v>-4.9258160237388826E-2</v>
      </c>
      <c r="Q184" s="14">
        <f t="shared" si="245"/>
        <v>-1.495438911320468E-2</v>
      </c>
      <c r="R184" s="14">
        <f t="shared" si="245"/>
        <v>-6.9260700389105145E-2</v>
      </c>
      <c r="S184" s="14"/>
      <c r="T184" s="14">
        <f t="shared" ref="T184:U184" si="246">J184/J185-1</f>
        <v>-7.8028747433265266E-3</v>
      </c>
      <c r="U184" s="14">
        <f t="shared" si="246"/>
        <v>9.7854467022362446E-3</v>
      </c>
    </row>
    <row r="185" spans="2:21" ht="14.25" customHeight="1">
      <c r="B185" s="13" t="s">
        <v>235</v>
      </c>
      <c r="C185" s="14">
        <v>32038.53</v>
      </c>
      <c r="D185" s="3">
        <v>0.33</v>
      </c>
      <c r="E185" s="3">
        <v>6.27</v>
      </c>
      <c r="F185" s="3">
        <v>16.850000000000001</v>
      </c>
      <c r="G185" s="3">
        <v>66.87</v>
      </c>
      <c r="H185" s="3">
        <v>514</v>
      </c>
      <c r="J185" s="3">
        <v>121.75</v>
      </c>
      <c r="K185" s="3">
        <v>440.45</v>
      </c>
      <c r="M185" s="14">
        <f t="shared" ref="M185:R185" si="247">C185/C186-1</f>
        <v>-1.9848369337100769E-2</v>
      </c>
      <c r="N185" s="14">
        <f t="shared" si="247"/>
        <v>-0.15384615384615385</v>
      </c>
      <c r="O185" s="14">
        <f t="shared" si="247"/>
        <v>-8.6005830903790215E-2</v>
      </c>
      <c r="P185" s="14">
        <f t="shared" si="247"/>
        <v>-5.7606263982102779E-2</v>
      </c>
      <c r="Q185" s="14">
        <f t="shared" si="247"/>
        <v>-5.2698682532936636E-2</v>
      </c>
      <c r="R185" s="14">
        <f t="shared" si="247"/>
        <v>-2.281368821292773E-2</v>
      </c>
      <c r="S185" s="14"/>
      <c r="T185" s="14">
        <f t="shared" ref="T185:U185" si="248">J185/J186-1</f>
        <v>-0.21965132675298049</v>
      </c>
      <c r="U185" s="14">
        <f t="shared" si="248"/>
        <v>-7.3224618621777982E-2</v>
      </c>
    </row>
    <row r="186" spans="2:21" ht="14.25" customHeight="1">
      <c r="B186" s="13" t="s">
        <v>236</v>
      </c>
      <c r="C186" s="14">
        <v>32687.32</v>
      </c>
      <c r="D186" s="3">
        <v>0.39</v>
      </c>
      <c r="E186" s="3">
        <v>6.86</v>
      </c>
      <c r="F186" s="3">
        <v>17.88</v>
      </c>
      <c r="G186" s="3">
        <v>70.59</v>
      </c>
      <c r="H186" s="3">
        <v>526</v>
      </c>
      <c r="J186" s="3">
        <v>156.02000000000001</v>
      </c>
      <c r="K186" s="3">
        <v>475.25</v>
      </c>
      <c r="M186" s="14">
        <f t="shared" ref="M186:R186" si="249">C186/C187-1</f>
        <v>-1.740824007866193E-2</v>
      </c>
      <c r="N186" s="14">
        <f t="shared" si="249"/>
        <v>-9.3023255813953432E-2</v>
      </c>
      <c r="O186" s="14">
        <f t="shared" si="249"/>
        <v>1.0309278350515427E-2</v>
      </c>
      <c r="P186" s="14">
        <f t="shared" si="249"/>
        <v>-3.5078251484079948E-2</v>
      </c>
      <c r="Q186" s="14">
        <f t="shared" si="249"/>
        <v>5.8003597122302297E-2</v>
      </c>
      <c r="R186" s="14">
        <f t="shared" si="249"/>
        <v>-4.1283149548892673E-2</v>
      </c>
      <c r="S186" s="14"/>
      <c r="T186" s="14">
        <f t="shared" ref="T186:U186" si="250">J186/J187-1</f>
        <v>1.6483158511955143E-2</v>
      </c>
      <c r="U186" s="14">
        <f t="shared" si="250"/>
        <v>1.3110211042421716E-2</v>
      </c>
    </row>
    <row r="187" spans="2:21" ht="14.25" customHeight="1">
      <c r="B187" s="13" t="s">
        <v>237</v>
      </c>
      <c r="C187" s="14">
        <v>33266.43</v>
      </c>
      <c r="D187" s="3">
        <v>0.43</v>
      </c>
      <c r="E187" s="3">
        <v>6.79</v>
      </c>
      <c r="F187" s="3">
        <v>18.53</v>
      </c>
      <c r="G187" s="3">
        <v>66.72</v>
      </c>
      <c r="H187" s="3">
        <v>548.65</v>
      </c>
      <c r="J187" s="3">
        <v>153.49</v>
      </c>
      <c r="K187" s="3">
        <v>469.1</v>
      </c>
      <c r="M187" s="14">
        <f t="shared" ref="M187:R187" si="251">C187/C188-1</f>
        <v>5.1585703474746225E-2</v>
      </c>
      <c r="N187" s="14">
        <f t="shared" si="251"/>
        <v>4.8780487804878092E-2</v>
      </c>
      <c r="O187" s="14">
        <f t="shared" si="251"/>
        <v>0.14695945945945943</v>
      </c>
      <c r="P187" s="14">
        <f t="shared" si="251"/>
        <v>2.8301886792452935E-2</v>
      </c>
      <c r="Q187" s="14">
        <f t="shared" si="251"/>
        <v>4.4949099451840224E-2</v>
      </c>
      <c r="R187" s="14">
        <f t="shared" si="251"/>
        <v>2.7434456928838946E-2</v>
      </c>
      <c r="S187" s="14"/>
      <c r="T187" s="14">
        <f t="shared" ref="T187:U187" si="252">J187/J188-1</f>
        <v>2.8477619941034593E-2</v>
      </c>
      <c r="U187" s="14">
        <f t="shared" si="252"/>
        <v>4.2444444444444507E-2</v>
      </c>
    </row>
    <row r="188" spans="2:21" ht="14.25" customHeight="1">
      <c r="B188" s="13" t="s">
        <v>238</v>
      </c>
      <c r="C188" s="14">
        <v>31634.54</v>
      </c>
      <c r="D188" s="3">
        <v>0.41</v>
      </c>
      <c r="E188" s="3">
        <v>5.92</v>
      </c>
      <c r="F188" s="3">
        <v>18.02</v>
      </c>
      <c r="G188" s="3">
        <v>63.85</v>
      </c>
      <c r="H188" s="3">
        <v>534</v>
      </c>
      <c r="J188" s="3">
        <v>149.24</v>
      </c>
      <c r="K188" s="3">
        <v>450</v>
      </c>
      <c r="M188" s="14">
        <f t="shared" ref="M188:R188" si="253">C188/C189-1</f>
        <v>4.0897142336322467E-2</v>
      </c>
      <c r="N188" s="14">
        <f t="shared" si="253"/>
        <v>7.8947368421052655E-2</v>
      </c>
      <c r="O188" s="14">
        <f t="shared" si="253"/>
        <v>-5.5821371610845216E-2</v>
      </c>
      <c r="P188" s="14">
        <f t="shared" si="253"/>
        <v>1.1791128579449861E-2</v>
      </c>
      <c r="Q188" s="14">
        <f t="shared" si="253"/>
        <v>2.2745474931923804E-2</v>
      </c>
      <c r="R188" s="14">
        <f t="shared" si="253"/>
        <v>4.6033300685602407E-2</v>
      </c>
      <c r="S188" s="14"/>
      <c r="T188" s="14">
        <f t="shared" ref="T188:U188" si="254">J188/J189-1</f>
        <v>-0.16420250896057342</v>
      </c>
      <c r="U188" s="14">
        <f t="shared" si="254"/>
        <v>0</v>
      </c>
    </row>
    <row r="189" spans="2:21" ht="14.25" customHeight="1">
      <c r="B189" s="13" t="s">
        <v>239</v>
      </c>
      <c r="C189" s="14">
        <v>30391.61</v>
      </c>
      <c r="D189" s="3">
        <v>0.38</v>
      </c>
      <c r="E189" s="3">
        <v>6.27</v>
      </c>
      <c r="F189" s="3">
        <v>17.809999999999999</v>
      </c>
      <c r="G189" s="3">
        <v>62.43</v>
      </c>
      <c r="H189" s="3">
        <v>510.5</v>
      </c>
      <c r="J189" s="3">
        <v>178.56</v>
      </c>
      <c r="K189" s="3">
        <v>450</v>
      </c>
      <c r="M189" s="14">
        <f t="shared" ref="M189:R189" si="255">C189/C190-1</f>
        <v>-5.3824243543136197E-2</v>
      </c>
      <c r="N189" s="14">
        <f t="shared" si="255"/>
        <v>-0.1914893617021276</v>
      </c>
      <c r="O189" s="14">
        <f t="shared" si="255"/>
        <v>-6.8350668647845558E-2</v>
      </c>
      <c r="P189" s="14">
        <f t="shared" si="255"/>
        <v>-5.6116722783394746E-4</v>
      </c>
      <c r="Q189" s="14">
        <f t="shared" si="255"/>
        <v>-1.6015374759770218E-4</v>
      </c>
      <c r="R189" s="14">
        <f t="shared" si="255"/>
        <v>-6.1615381787434309E-2</v>
      </c>
      <c r="S189" s="14"/>
      <c r="T189" s="14">
        <f t="shared" ref="T189:U189" si="256">J189/J190-1</f>
        <v>-0.16192621796676987</v>
      </c>
      <c r="U189" s="14">
        <f t="shared" si="256"/>
        <v>-1.3157894736842146E-2</v>
      </c>
    </row>
    <row r="190" spans="2:21" ht="14.25" customHeight="1">
      <c r="B190" s="13" t="s">
        <v>240</v>
      </c>
      <c r="C190" s="14">
        <v>32120.47</v>
      </c>
      <c r="D190" s="3">
        <v>0.47</v>
      </c>
      <c r="E190" s="3">
        <v>6.73</v>
      </c>
      <c r="F190" s="3">
        <v>17.82</v>
      </c>
      <c r="G190" s="3">
        <v>62.44</v>
      </c>
      <c r="H190" s="3">
        <v>544.02</v>
      </c>
      <c r="J190" s="3">
        <v>213.06</v>
      </c>
      <c r="K190" s="3">
        <v>456</v>
      </c>
      <c r="M190" s="14">
        <f t="shared" ref="M190:R190" si="257">C190/C191-1</f>
        <v>3.7579735317670115E-2</v>
      </c>
      <c r="N190" s="14">
        <f t="shared" si="257"/>
        <v>0.42424242424242409</v>
      </c>
      <c r="O190" s="14">
        <f t="shared" si="257"/>
        <v>-1.0294117647058787E-2</v>
      </c>
      <c r="P190" s="14">
        <f t="shared" si="257"/>
        <v>-1.980198019801982E-2</v>
      </c>
      <c r="Q190" s="14">
        <f t="shared" si="257"/>
        <v>-1.2806324110671952E-2</v>
      </c>
      <c r="R190" s="14">
        <f t="shared" si="257"/>
        <v>3.6764705882319504E-5</v>
      </c>
      <c r="S190" s="14"/>
      <c r="T190" s="14">
        <f t="shared" ref="T190:U190" si="258">J190/J191-1</f>
        <v>-2.525391161130941E-2</v>
      </c>
      <c r="U190" s="14">
        <f t="shared" si="258"/>
        <v>6.6225165562914245E-3</v>
      </c>
    </row>
    <row r="191" spans="2:21" ht="14.25" customHeight="1">
      <c r="B191" s="13" t="s">
        <v>241</v>
      </c>
      <c r="C191" s="14">
        <v>30957.11</v>
      </c>
      <c r="D191" s="3">
        <v>0.33</v>
      </c>
      <c r="E191" s="3">
        <v>6.8</v>
      </c>
      <c r="F191" s="3">
        <v>18.18</v>
      </c>
      <c r="G191" s="3">
        <v>63.25</v>
      </c>
      <c r="H191" s="3">
        <v>544</v>
      </c>
      <c r="J191" s="3">
        <v>218.58</v>
      </c>
      <c r="K191" s="3">
        <v>453</v>
      </c>
      <c r="M191" s="14">
        <f t="shared" ref="M191:R191" si="259">C191/C192-1</f>
        <v>8.0677147932889826E-2</v>
      </c>
      <c r="N191" s="14">
        <f t="shared" si="259"/>
        <v>0.10000000000000009</v>
      </c>
      <c r="O191" s="14">
        <f t="shared" si="259"/>
        <v>0.14478114478114468</v>
      </c>
      <c r="P191" s="14">
        <f t="shared" si="259"/>
        <v>9.7826086956521729E-2</v>
      </c>
      <c r="Q191" s="14">
        <f t="shared" si="259"/>
        <v>7.9167377580617648E-2</v>
      </c>
      <c r="R191" s="14">
        <f t="shared" si="259"/>
        <v>-2.3304247908362941E-2</v>
      </c>
      <c r="S191" s="14"/>
      <c r="T191" s="14">
        <f t="shared" ref="T191:U191" si="260">J191/J192-1</f>
        <v>4.0064712599923835E-2</v>
      </c>
      <c r="U191" s="14">
        <f t="shared" si="260"/>
        <v>-0.31728783928383042</v>
      </c>
    </row>
    <row r="192" spans="2:21" ht="14.25" customHeight="1">
      <c r="B192" s="13" t="s">
        <v>242</v>
      </c>
      <c r="C192" s="14">
        <v>28646.03</v>
      </c>
      <c r="D192" s="3">
        <v>0.3</v>
      </c>
      <c r="E192" s="3">
        <v>5.94</v>
      </c>
      <c r="F192" s="3">
        <v>16.559999999999999</v>
      </c>
      <c r="G192" s="3">
        <v>58.61</v>
      </c>
      <c r="H192" s="3">
        <v>556.98</v>
      </c>
      <c r="J192" s="3">
        <v>210.16</v>
      </c>
      <c r="K192" s="3">
        <v>663.53</v>
      </c>
      <c r="M192" s="14">
        <f t="shared" ref="M192:R192" si="261">C192/C193-1</f>
        <v>-2.0053543621699976E-2</v>
      </c>
      <c r="N192" s="14">
        <f t="shared" si="261"/>
        <v>-0.21052631578947367</v>
      </c>
      <c r="O192" s="14">
        <f t="shared" si="261"/>
        <v>0.27194860813704502</v>
      </c>
      <c r="P192" s="14">
        <f t="shared" si="261"/>
        <v>1.2224938875305513E-2</v>
      </c>
      <c r="Q192" s="14">
        <f t="shared" si="261"/>
        <v>2.6984405116523558E-2</v>
      </c>
      <c r="R192" s="14">
        <f t="shared" si="261"/>
        <v>-5.5117308768894091E-2</v>
      </c>
      <c r="S192" s="14"/>
      <c r="T192" s="14">
        <f t="shared" ref="T192:U192" si="262">J192/J193-1</f>
        <v>-3.1029554151874139E-2</v>
      </c>
      <c r="U192" s="14">
        <f t="shared" si="262"/>
        <v>0.11937176307842834</v>
      </c>
    </row>
    <row r="193" spans="2:21" ht="14.25" customHeight="1">
      <c r="B193" s="13" t="s">
        <v>243</v>
      </c>
      <c r="C193" s="14">
        <v>29232.240000000002</v>
      </c>
      <c r="D193" s="3">
        <v>0.38</v>
      </c>
      <c r="E193" s="3">
        <v>4.67</v>
      </c>
      <c r="F193" s="3">
        <v>16.36</v>
      </c>
      <c r="G193" s="3">
        <v>57.07</v>
      </c>
      <c r="H193" s="3">
        <v>589.47</v>
      </c>
      <c r="J193" s="3">
        <v>216.89</v>
      </c>
      <c r="K193" s="3">
        <v>592.77</v>
      </c>
      <c r="M193" s="14">
        <f t="shared" ref="M193:R193" si="263">C193/C194-1</f>
        <v>3.9185636661281054E-2</v>
      </c>
      <c r="N193" s="14">
        <f t="shared" si="263"/>
        <v>5.555555555555558E-2</v>
      </c>
      <c r="O193" s="14">
        <f t="shared" si="263"/>
        <v>0.15024630541871931</v>
      </c>
      <c r="P193" s="14">
        <f t="shared" si="263"/>
        <v>-3.5377358490566113E-2</v>
      </c>
      <c r="Q193" s="14">
        <f t="shared" si="263"/>
        <v>1.47581792318634E-2</v>
      </c>
      <c r="R193" s="14">
        <f t="shared" si="263"/>
        <v>1.5977249224405243E-2</v>
      </c>
      <c r="S193" s="14"/>
      <c r="T193" s="14">
        <f t="shared" ref="T193:U193" si="264">J193/J194-1</f>
        <v>1.5640365254038668E-2</v>
      </c>
      <c r="U193" s="14">
        <f t="shared" si="264"/>
        <v>5.7347427000797868E-3</v>
      </c>
    </row>
    <row r="194" spans="2:21" ht="14.25" customHeight="1">
      <c r="B194" s="13" t="s">
        <v>244</v>
      </c>
      <c r="C194" s="14">
        <v>28129.95</v>
      </c>
      <c r="D194" s="3">
        <v>0.36</v>
      </c>
      <c r="E194" s="3">
        <v>4.0599999999999996</v>
      </c>
      <c r="F194" s="3">
        <v>16.96</v>
      </c>
      <c r="G194" s="3">
        <v>56.24</v>
      </c>
      <c r="H194" s="3">
        <v>580.20000000000005</v>
      </c>
      <c r="J194" s="3">
        <v>213.55</v>
      </c>
      <c r="K194" s="3">
        <v>589.39</v>
      </c>
      <c r="M194" s="14">
        <f t="shared" ref="M194:R194" si="265">C194/C195-1</f>
        <v>4.0174163847135125E-2</v>
      </c>
      <c r="N194" s="14">
        <f t="shared" si="265"/>
        <v>0.125</v>
      </c>
      <c r="O194" s="14">
        <f t="shared" si="265"/>
        <v>-5.3613053613053685E-2</v>
      </c>
      <c r="P194" s="14">
        <f t="shared" si="265"/>
        <v>1.9843656043295299E-2</v>
      </c>
      <c r="Q194" s="14">
        <f t="shared" si="265"/>
        <v>2.1431166000726476E-2</v>
      </c>
      <c r="R194" s="14">
        <f t="shared" si="265"/>
        <v>0.1509621106923229</v>
      </c>
      <c r="S194" s="14"/>
      <c r="T194" s="14">
        <f t="shared" ref="T194:U194" si="266">J194/J195-1</f>
        <v>9.7097354225533117E-2</v>
      </c>
      <c r="U194" s="14">
        <f t="shared" si="266"/>
        <v>-7.376593630530337E-3</v>
      </c>
    </row>
    <row r="195" spans="2:21" ht="14.25" customHeight="1">
      <c r="B195" s="13" t="s">
        <v>245</v>
      </c>
      <c r="C195" s="14">
        <v>27043.5</v>
      </c>
      <c r="D195" s="3">
        <v>0.32</v>
      </c>
      <c r="E195" s="3">
        <v>4.29</v>
      </c>
      <c r="F195" s="3">
        <v>16.63</v>
      </c>
      <c r="G195" s="3">
        <v>55.06</v>
      </c>
      <c r="H195" s="3">
        <v>504.1</v>
      </c>
      <c r="J195" s="3">
        <v>194.65</v>
      </c>
      <c r="K195" s="3">
        <v>593.77</v>
      </c>
      <c r="M195" s="14">
        <f t="shared" ref="M195:R195" si="267">C195/C196-1</f>
        <v>0.10977832748832705</v>
      </c>
      <c r="N195" s="14">
        <f t="shared" si="267"/>
        <v>0.14285714285714279</v>
      </c>
      <c r="O195" s="14">
        <f t="shared" si="267"/>
        <v>2.6315789473684292E-2</v>
      </c>
      <c r="P195" s="14">
        <f t="shared" si="267"/>
        <v>2.9721362229102155E-2</v>
      </c>
      <c r="Q195" s="14">
        <f t="shared" si="267"/>
        <v>-4.226822056009738E-2</v>
      </c>
      <c r="R195" s="14">
        <f t="shared" si="267"/>
        <v>0.11650055370985601</v>
      </c>
      <c r="S195" s="14"/>
      <c r="T195" s="14">
        <f t="shared" ref="T195:U195" si="268">J195/J196-1</f>
        <v>0.3081317204301075</v>
      </c>
      <c r="U195" s="14">
        <f t="shared" si="268"/>
        <v>5.8658869256690505E-2</v>
      </c>
    </row>
    <row r="196" spans="2:21" ht="14.25" customHeight="1">
      <c r="B196" s="13" t="s">
        <v>246</v>
      </c>
      <c r="C196" s="14">
        <v>24368.38</v>
      </c>
      <c r="D196" s="3">
        <v>0.28000000000000003</v>
      </c>
      <c r="E196" s="3">
        <v>4.18</v>
      </c>
      <c r="F196" s="3">
        <v>16.149999999999999</v>
      </c>
      <c r="G196" s="3">
        <v>57.49</v>
      </c>
      <c r="H196" s="3">
        <v>451.5</v>
      </c>
      <c r="J196" s="3">
        <v>148.80000000000001</v>
      </c>
      <c r="K196" s="3">
        <v>560.87</v>
      </c>
      <c r="M196" s="14">
        <f t="shared" ref="M196:R196" si="269">C196/C197-1</f>
        <v>1.5070868426427797E-3</v>
      </c>
      <c r="N196" s="14">
        <f t="shared" si="269"/>
        <v>7.6923076923077094E-2</v>
      </c>
      <c r="O196" s="14">
        <f t="shared" si="269"/>
        <v>7.1794871794871762E-2</v>
      </c>
      <c r="P196" s="14">
        <f t="shared" si="269"/>
        <v>-2.5934861278648969E-2</v>
      </c>
      <c r="Q196" s="14">
        <f t="shared" si="269"/>
        <v>-2.5428038650618712E-2</v>
      </c>
      <c r="R196" s="14">
        <f t="shared" si="269"/>
        <v>-6.3569428601057743E-2</v>
      </c>
      <c r="S196" s="14"/>
      <c r="T196" s="14">
        <f t="shared" ref="T196:U196" si="270">J196/J197-1</f>
        <v>3.8381018841591175E-2</v>
      </c>
      <c r="U196" s="14">
        <f t="shared" si="270"/>
        <v>-5.006520671375092E-2</v>
      </c>
    </row>
    <row r="197" spans="2:21" ht="14.25" customHeight="1">
      <c r="B197" s="13" t="s">
        <v>247</v>
      </c>
      <c r="C197" s="14">
        <v>24331.71</v>
      </c>
      <c r="D197" s="3">
        <v>0.26</v>
      </c>
      <c r="E197" s="3">
        <v>3.9</v>
      </c>
      <c r="F197" s="3">
        <v>16.579999999999998</v>
      </c>
      <c r="G197" s="3">
        <v>58.99</v>
      </c>
      <c r="H197" s="3">
        <v>482.15</v>
      </c>
      <c r="J197" s="3">
        <v>143.30000000000001</v>
      </c>
      <c r="K197" s="3">
        <v>590.42999999999995</v>
      </c>
      <c r="M197" s="14">
        <f t="shared" ref="M197:R197" si="271">C197/C198-1</f>
        <v>0.11109533149000983</v>
      </c>
      <c r="N197" s="14">
        <f t="shared" si="271"/>
        <v>-0.10344827586206884</v>
      </c>
      <c r="O197" s="14">
        <f t="shared" si="271"/>
        <v>-3.2258064516129115E-2</v>
      </c>
      <c r="P197" s="14">
        <f t="shared" si="271"/>
        <v>-1.3095238095238271E-2</v>
      </c>
      <c r="Q197" s="14">
        <f t="shared" si="271"/>
        <v>0.10696190654907123</v>
      </c>
      <c r="R197" s="14">
        <f t="shared" si="271"/>
        <v>1.1836039702646239E-3</v>
      </c>
      <c r="S197" s="14"/>
      <c r="T197" s="14">
        <f t="shared" ref="T197:T240" si="272">J197/J198-1</f>
        <v>6.3608698879240144E-2</v>
      </c>
      <c r="U197" s="14"/>
    </row>
    <row r="198" spans="2:21" ht="14.25" customHeight="1">
      <c r="B198" s="13" t="s">
        <v>248</v>
      </c>
      <c r="C198" s="14">
        <v>21898.85</v>
      </c>
      <c r="D198" s="3">
        <v>0.28999999999999998</v>
      </c>
      <c r="E198" s="3">
        <v>4.03</v>
      </c>
      <c r="F198" s="3">
        <v>16.8</v>
      </c>
      <c r="G198" s="3">
        <v>53.29</v>
      </c>
      <c r="H198" s="3">
        <v>481.58</v>
      </c>
      <c r="J198" s="3">
        <v>134.72999999999999</v>
      </c>
      <c r="M198" s="14">
        <f t="shared" ref="M198:R198" si="273">C198/C199-1</f>
        <v>0.11576547314252217</v>
      </c>
      <c r="N198" s="14">
        <f t="shared" si="273"/>
        <v>0.15999999999999992</v>
      </c>
      <c r="O198" s="14">
        <f t="shared" si="273"/>
        <v>9.8092643051771233E-2</v>
      </c>
      <c r="P198" s="14">
        <f t="shared" si="273"/>
        <v>-3.2815198618307395E-2</v>
      </c>
      <c r="Q198" s="14">
        <f t="shared" si="273"/>
        <v>-2.3456111416529257E-2</v>
      </c>
      <c r="R198" s="14">
        <f t="shared" si="273"/>
        <v>0.33401662049861502</v>
      </c>
      <c r="S198" s="14"/>
      <c r="T198" s="14">
        <f t="shared" si="272"/>
        <v>0.24496396229902051</v>
      </c>
      <c r="U198" s="14"/>
    </row>
    <row r="199" spans="2:21" ht="14.25" customHeight="1">
      <c r="B199" s="13" t="s">
        <v>249</v>
      </c>
      <c r="C199" s="14">
        <v>19626.75</v>
      </c>
      <c r="D199" s="3">
        <v>0.25</v>
      </c>
      <c r="E199" s="3">
        <v>3.67</v>
      </c>
      <c r="F199" s="3">
        <v>17.37</v>
      </c>
      <c r="G199" s="3">
        <v>54.57</v>
      </c>
      <c r="H199" s="3">
        <v>361</v>
      </c>
      <c r="J199" s="3">
        <v>108.22</v>
      </c>
      <c r="M199" s="14">
        <f t="shared" ref="M199:R199" si="274">C199/C200-1</f>
        <v>0.10559660841654384</v>
      </c>
      <c r="N199" s="14">
        <f t="shared" si="274"/>
        <v>0.19047619047619047</v>
      </c>
      <c r="O199" s="14">
        <f t="shared" si="274"/>
        <v>0.13271604938271597</v>
      </c>
      <c r="P199" s="14">
        <f t="shared" si="274"/>
        <v>5.8500914076782484E-2</v>
      </c>
      <c r="Q199" s="14">
        <f t="shared" si="274"/>
        <v>4.4401913875597998E-2</v>
      </c>
      <c r="R199" s="14">
        <f t="shared" si="274"/>
        <v>3.7356321839080442E-2</v>
      </c>
      <c r="S199" s="14"/>
      <c r="T199" s="14">
        <f t="shared" si="272"/>
        <v>0.10643083529291486</v>
      </c>
      <c r="U199" s="14"/>
    </row>
    <row r="200" spans="2:21" ht="14.25" customHeight="1">
      <c r="B200" s="13" t="s">
        <v>250</v>
      </c>
      <c r="C200" s="14">
        <v>17752.18</v>
      </c>
      <c r="D200" s="3">
        <v>0.21</v>
      </c>
      <c r="E200" s="3">
        <v>3.24</v>
      </c>
      <c r="F200" s="3">
        <v>16.41</v>
      </c>
      <c r="G200" s="3">
        <v>52.25</v>
      </c>
      <c r="H200" s="3">
        <v>348</v>
      </c>
      <c r="J200" s="3">
        <v>97.81</v>
      </c>
      <c r="M200" s="14">
        <f t="shared" ref="M200:R200" si="275">C200/C201-1</f>
        <v>-9.2662766532720875E-2</v>
      </c>
      <c r="N200" s="14">
        <f t="shared" si="275"/>
        <v>4.9999999999999822E-2</v>
      </c>
      <c r="O200" s="14">
        <f t="shared" si="275"/>
        <v>0.10204081632653073</v>
      </c>
      <c r="P200" s="14">
        <f t="shared" si="275"/>
        <v>4.4557606619987311E-2</v>
      </c>
      <c r="Q200" s="14">
        <f t="shared" si="275"/>
        <v>-9.9448466046191064E-2</v>
      </c>
      <c r="R200" s="14">
        <f t="shared" si="275"/>
        <v>-9.1383812010443877E-2</v>
      </c>
      <c r="S200" s="14"/>
      <c r="T200" s="14">
        <f t="shared" si="272"/>
        <v>-0.18006538687232798</v>
      </c>
      <c r="U200" s="14"/>
    </row>
    <row r="201" spans="2:21" ht="14.25" customHeight="1">
      <c r="B201" s="13" t="s">
        <v>251</v>
      </c>
      <c r="C201" s="14">
        <v>19565.14</v>
      </c>
      <c r="D201" s="3">
        <v>0.2</v>
      </c>
      <c r="E201" s="3">
        <v>2.94</v>
      </c>
      <c r="F201" s="3">
        <v>15.71</v>
      </c>
      <c r="G201" s="3">
        <v>58.02</v>
      </c>
      <c r="H201" s="3">
        <v>383</v>
      </c>
      <c r="J201" s="3">
        <v>119.29</v>
      </c>
      <c r="M201" s="14">
        <f t="shared" ref="M201:R201" si="276">C201/C202-1</f>
        <v>-0.12578819248339612</v>
      </c>
      <c r="N201" s="14">
        <f t="shared" si="276"/>
        <v>0</v>
      </c>
      <c r="O201" s="14">
        <f t="shared" si="276"/>
        <v>0.1484375</v>
      </c>
      <c r="P201" s="14">
        <f t="shared" si="276"/>
        <v>-0.15944355270197963</v>
      </c>
      <c r="Q201" s="14">
        <f t="shared" si="276"/>
        <v>-6.7052580800771699E-2</v>
      </c>
      <c r="R201" s="14">
        <f t="shared" si="276"/>
        <v>-1.7948717948717996E-2</v>
      </c>
      <c r="S201" s="14"/>
      <c r="T201" s="14">
        <f t="shared" si="272"/>
        <v>-0.22276518113109189</v>
      </c>
      <c r="U201" s="14"/>
    </row>
    <row r="202" spans="2:21" ht="14.25" customHeight="1">
      <c r="B202" s="13" t="s">
        <v>252</v>
      </c>
      <c r="C202" s="14">
        <v>22380.32</v>
      </c>
      <c r="D202" s="3">
        <v>0.2</v>
      </c>
      <c r="E202" s="3">
        <v>2.56</v>
      </c>
      <c r="F202" s="3">
        <v>18.690000000000001</v>
      </c>
      <c r="G202" s="3">
        <v>62.19</v>
      </c>
      <c r="H202" s="3">
        <v>390</v>
      </c>
      <c r="J202" s="3">
        <v>153.47999999999999</v>
      </c>
      <c r="M202" s="14">
        <f t="shared" ref="M202:R202" si="277">C202/C203-1</f>
        <v>8.9877047264340426E-2</v>
      </c>
      <c r="N202" s="14">
        <f t="shared" si="277"/>
        <v>5.2631578947368363E-2</v>
      </c>
      <c r="O202" s="14">
        <f t="shared" si="277"/>
        <v>0.2018779342723005</v>
      </c>
      <c r="P202" s="14">
        <f t="shared" si="277"/>
        <v>3.2206119162641045E-3</v>
      </c>
      <c r="Q202" s="14">
        <f t="shared" si="277"/>
        <v>5.8553191489361556E-2</v>
      </c>
      <c r="R202" s="14">
        <f t="shared" si="277"/>
        <v>0.28712871287128716</v>
      </c>
      <c r="S202" s="14"/>
      <c r="T202" s="14">
        <f t="shared" si="272"/>
        <v>0.22607445278798521</v>
      </c>
      <c r="U202" s="14"/>
    </row>
    <row r="203" spans="2:21" ht="14.25" customHeight="1">
      <c r="B203" s="13" t="s">
        <v>253</v>
      </c>
      <c r="C203" s="14">
        <v>20534.72</v>
      </c>
      <c r="D203" s="3">
        <v>0.19</v>
      </c>
      <c r="E203" s="3">
        <v>2.13</v>
      </c>
      <c r="F203" s="3">
        <v>18.63</v>
      </c>
      <c r="G203" s="3">
        <v>58.75</v>
      </c>
      <c r="H203" s="3">
        <v>303</v>
      </c>
      <c r="J203" s="3">
        <v>125.18</v>
      </c>
      <c r="M203" s="14">
        <f t="shared" ref="M203:R203" si="278">C203/C204-1</f>
        <v>4.3726388239460068E-3</v>
      </c>
      <c r="N203" s="14">
        <f t="shared" si="278"/>
        <v>-0.13636363636363635</v>
      </c>
      <c r="O203" s="14">
        <f t="shared" si="278"/>
        <v>-0.25524475524475521</v>
      </c>
      <c r="P203" s="14">
        <f t="shared" si="278"/>
        <v>1.612903225806317E-3</v>
      </c>
      <c r="Q203" s="14">
        <f t="shared" si="278"/>
        <v>1.415501467288105E-2</v>
      </c>
      <c r="R203" s="14">
        <f t="shared" si="278"/>
        <v>-0.36344537815126055</v>
      </c>
      <c r="S203" s="14"/>
      <c r="T203" s="14">
        <f t="shared" si="272"/>
        <v>-1.7656752726987412E-2</v>
      </c>
      <c r="U203" s="14"/>
    </row>
    <row r="204" spans="2:21" ht="14.25" customHeight="1">
      <c r="B204" s="13" t="s">
        <v>254</v>
      </c>
      <c r="C204" s="14">
        <v>20445.32</v>
      </c>
      <c r="D204" s="3">
        <v>0.22</v>
      </c>
      <c r="E204" s="3">
        <v>2.86</v>
      </c>
      <c r="F204" s="3">
        <v>18.600000000000001</v>
      </c>
      <c r="G204" s="3">
        <v>57.93</v>
      </c>
      <c r="H204" s="3">
        <v>476</v>
      </c>
      <c r="J204" s="3">
        <v>127.43</v>
      </c>
      <c r="M204" s="14">
        <f t="shared" ref="M204:R204" si="279">C204/C205-1</f>
        <v>-0.17853661672472476</v>
      </c>
      <c r="N204" s="14">
        <f t="shared" si="279"/>
        <v>-0.18518518518518523</v>
      </c>
      <c r="O204" s="14">
        <f t="shared" si="279"/>
        <v>-0.2142857142857143</v>
      </c>
      <c r="P204" s="14">
        <f t="shared" si="279"/>
        <v>-6.8136272545090137E-2</v>
      </c>
      <c r="Q204" s="14">
        <f t="shared" si="279"/>
        <v>-6.1102106969205927E-2</v>
      </c>
      <c r="R204" s="14">
        <f t="shared" si="279"/>
        <v>-2.8174765210289943E-2</v>
      </c>
      <c r="S204" s="14"/>
      <c r="T204" s="14">
        <f t="shared" si="272"/>
        <v>-0.19256114560892146</v>
      </c>
      <c r="U204" s="14"/>
    </row>
    <row r="205" spans="2:21" ht="14.25" customHeight="1">
      <c r="B205" s="13" t="s">
        <v>255</v>
      </c>
      <c r="C205" s="14">
        <v>24888.9</v>
      </c>
      <c r="D205" s="3">
        <v>0.27</v>
      </c>
      <c r="E205" s="3">
        <v>3.64</v>
      </c>
      <c r="F205" s="3">
        <v>19.96</v>
      </c>
      <c r="G205" s="3">
        <v>61.7</v>
      </c>
      <c r="H205" s="3">
        <v>489.8</v>
      </c>
      <c r="J205" s="3">
        <v>157.82</v>
      </c>
      <c r="M205" s="14">
        <f t="shared" ref="M205:R205" si="280">C205/C206-1</f>
        <v>-5.3329676820842442E-2</v>
      </c>
      <c r="N205" s="14">
        <f t="shared" si="280"/>
        <v>-0.15625</v>
      </c>
      <c r="O205" s="14">
        <f t="shared" si="280"/>
        <v>-9.9009900990098987E-2</v>
      </c>
      <c r="P205" s="14">
        <f t="shared" si="280"/>
        <v>1.3712544438801322E-2</v>
      </c>
      <c r="Q205" s="14">
        <f t="shared" si="280"/>
        <v>-4.8387096774192839E-3</v>
      </c>
      <c r="R205" s="14">
        <f t="shared" si="280"/>
        <v>0.31362978061470792</v>
      </c>
      <c r="S205" s="14"/>
      <c r="T205" s="14">
        <f t="shared" si="272"/>
        <v>1.0241966457559926E-2</v>
      </c>
      <c r="U205" s="14"/>
    </row>
    <row r="206" spans="2:21" ht="14.25" customHeight="1">
      <c r="B206" s="13" t="s">
        <v>256</v>
      </c>
      <c r="C206" s="14">
        <v>26290.99</v>
      </c>
      <c r="D206" s="3">
        <v>0.32</v>
      </c>
      <c r="E206" s="3">
        <v>4.04</v>
      </c>
      <c r="F206" s="3">
        <v>19.690000000000001</v>
      </c>
      <c r="G206" s="3">
        <v>62</v>
      </c>
      <c r="H206" s="3">
        <v>372.86</v>
      </c>
      <c r="J206" s="3">
        <v>156.22</v>
      </c>
      <c r="M206" s="14">
        <f t="shared" ref="M206:R206" si="281">C206/C207-1</f>
        <v>-4.3999458929159685E-2</v>
      </c>
      <c r="N206" s="14">
        <f t="shared" si="281"/>
        <v>0.10344827586206917</v>
      </c>
      <c r="O206" s="14">
        <f t="shared" si="281"/>
        <v>5.7591623036649331E-2</v>
      </c>
      <c r="P206" s="14">
        <f t="shared" si="281"/>
        <v>7.6765609007165558E-3</v>
      </c>
      <c r="Q206" s="14">
        <f t="shared" si="281"/>
        <v>3.6962702793109203E-2</v>
      </c>
      <c r="R206" s="14">
        <f t="shared" si="281"/>
        <v>-9.2046948814104135E-2</v>
      </c>
      <c r="S206" s="14"/>
      <c r="T206" s="14">
        <f t="shared" si="272"/>
        <v>-6.6172514794667903E-2</v>
      </c>
      <c r="U206" s="14"/>
    </row>
    <row r="207" spans="2:21" ht="14.25" customHeight="1">
      <c r="B207" s="13" t="s">
        <v>257</v>
      </c>
      <c r="C207" s="14">
        <v>27501.02</v>
      </c>
      <c r="D207" s="3">
        <v>0.28999999999999998</v>
      </c>
      <c r="E207" s="3">
        <v>3.82</v>
      </c>
      <c r="F207" s="3">
        <v>19.54</v>
      </c>
      <c r="G207" s="3">
        <v>59.79</v>
      </c>
      <c r="H207" s="3">
        <v>410.66</v>
      </c>
      <c r="J207" s="3">
        <v>167.29</v>
      </c>
      <c r="M207" s="14">
        <f t="shared" ref="M207:R207" si="282">C207/C208-1</f>
        <v>-6.4447641457924365E-2</v>
      </c>
      <c r="N207" s="14">
        <f t="shared" si="282"/>
        <v>-0.38297872340425532</v>
      </c>
      <c r="O207" s="14">
        <f t="shared" si="282"/>
        <v>4.0871934604904681E-2</v>
      </c>
      <c r="P207" s="14">
        <f t="shared" si="282"/>
        <v>4.3246129204484784E-2</v>
      </c>
      <c r="Q207" s="14">
        <f t="shared" si="282"/>
        <v>6.3500533617929511E-2</v>
      </c>
      <c r="R207" s="14">
        <f t="shared" si="282"/>
        <v>0.15564935978612637</v>
      </c>
      <c r="S207" s="14"/>
      <c r="T207" s="14">
        <f t="shared" si="272"/>
        <v>-4.9380611433117338E-2</v>
      </c>
      <c r="U207" s="14"/>
    </row>
    <row r="208" spans="2:21" ht="14.25" customHeight="1">
      <c r="B208" s="13" t="s">
        <v>258</v>
      </c>
      <c r="C208" s="14">
        <v>29395.49</v>
      </c>
      <c r="D208" s="3">
        <v>0.47</v>
      </c>
      <c r="E208" s="3">
        <v>3.67</v>
      </c>
      <c r="F208" s="3">
        <v>18.73</v>
      </c>
      <c r="G208" s="3">
        <v>56.22</v>
      </c>
      <c r="H208" s="3">
        <v>355.35</v>
      </c>
      <c r="J208" s="3">
        <v>175.98</v>
      </c>
      <c r="M208" s="14">
        <f t="shared" ref="M208:R208" si="283">C208/C209-1</f>
        <v>-8.0686226035145081E-2</v>
      </c>
      <c r="N208" s="14">
        <f t="shared" si="283"/>
        <v>-0.24193548387096775</v>
      </c>
      <c r="O208" s="14">
        <f t="shared" si="283"/>
        <v>-0.10049019607843146</v>
      </c>
      <c r="P208" s="14">
        <f t="shared" si="283"/>
        <v>-2.7012987012987044E-2</v>
      </c>
      <c r="Q208" s="14">
        <f t="shared" si="283"/>
        <v>-5.2258934592043227E-2</v>
      </c>
      <c r="R208" s="14">
        <f t="shared" si="283"/>
        <v>-0.20146067415730329</v>
      </c>
      <c r="S208" s="14"/>
      <c r="T208" s="14">
        <f t="shared" si="272"/>
        <v>-0.14849760487734065</v>
      </c>
      <c r="U208" s="14"/>
    </row>
    <row r="209" spans="2:21" ht="14.25" customHeight="1">
      <c r="B209" s="13" t="s">
        <v>259</v>
      </c>
      <c r="C209" s="14">
        <v>31975.47</v>
      </c>
      <c r="D209" s="3">
        <v>0.62</v>
      </c>
      <c r="E209" s="3">
        <v>4.08</v>
      </c>
      <c r="F209" s="3">
        <v>19.25</v>
      </c>
      <c r="G209" s="3">
        <v>59.32</v>
      </c>
      <c r="H209" s="3">
        <v>445</v>
      </c>
      <c r="J209" s="3">
        <v>206.67</v>
      </c>
      <c r="M209" s="14">
        <f t="shared" ref="M209:R209" si="284">C209/C210-1</f>
        <v>5.5943894290259255E-2</v>
      </c>
      <c r="N209" s="14">
        <f t="shared" si="284"/>
        <v>0.21568627450980382</v>
      </c>
      <c r="O209" s="14">
        <f t="shared" si="284"/>
        <v>3.8167938931297662E-2</v>
      </c>
      <c r="P209" s="14">
        <f t="shared" si="284"/>
        <v>-4.1386445938954575E-3</v>
      </c>
      <c r="Q209" s="14">
        <f t="shared" si="284"/>
        <v>-4.3638804968110234E-3</v>
      </c>
      <c r="R209" s="14">
        <f t="shared" si="284"/>
        <v>-0.10522188486518003</v>
      </c>
      <c r="S209" s="14"/>
      <c r="T209" s="14">
        <f t="shared" si="272"/>
        <v>-4.7120660242519263E-2</v>
      </c>
      <c r="U209" s="14"/>
    </row>
    <row r="210" spans="2:21" ht="14.25" customHeight="1">
      <c r="B210" s="13" t="s">
        <v>260</v>
      </c>
      <c r="C210" s="14">
        <v>30281.41</v>
      </c>
      <c r="D210" s="3">
        <v>0.51</v>
      </c>
      <c r="E210" s="3">
        <v>3.93</v>
      </c>
      <c r="F210" s="3">
        <v>19.329999999999998</v>
      </c>
      <c r="G210" s="3">
        <v>59.58</v>
      </c>
      <c r="H210" s="3">
        <v>497.33</v>
      </c>
      <c r="J210" s="3">
        <v>216.89</v>
      </c>
      <c r="M210" s="14">
        <f t="shared" ref="M210:R210" si="285">C210/C211-1</f>
        <v>-2.0430893291137564E-2</v>
      </c>
      <c r="N210" s="14">
        <f t="shared" si="285"/>
        <v>4.081632653061229E-2</v>
      </c>
      <c r="O210" s="14">
        <f t="shared" si="285"/>
        <v>0.10393258426966301</v>
      </c>
      <c r="P210" s="14">
        <f t="shared" si="285"/>
        <v>0.10079726651480647</v>
      </c>
      <c r="Q210" s="14">
        <f t="shared" si="285"/>
        <v>6.8316299085529719E-2</v>
      </c>
      <c r="R210" s="14">
        <f t="shared" si="285"/>
        <v>0.10931923625981432</v>
      </c>
      <c r="S210" s="14"/>
      <c r="T210" s="14">
        <f t="shared" si="272"/>
        <v>3.7502989715378909E-2</v>
      </c>
      <c r="U210" s="14"/>
    </row>
    <row r="211" spans="2:21" ht="14.25" customHeight="1">
      <c r="B211" s="13" t="s">
        <v>261</v>
      </c>
      <c r="C211" s="14">
        <v>30912.99</v>
      </c>
      <c r="D211" s="3">
        <v>0.49</v>
      </c>
      <c r="E211" s="3">
        <v>3.56</v>
      </c>
      <c r="F211" s="3">
        <v>17.559999999999999</v>
      </c>
      <c r="G211" s="3">
        <v>55.77</v>
      </c>
      <c r="H211" s="3">
        <v>448.32</v>
      </c>
      <c r="J211" s="3">
        <v>209.05</v>
      </c>
      <c r="M211" s="14">
        <f t="shared" ref="M211:R211" si="286">C211/C212-1</f>
        <v>6.8968605585624676E-2</v>
      </c>
      <c r="N211" s="14">
        <f t="shared" si="286"/>
        <v>-7.5471698113207641E-2</v>
      </c>
      <c r="O211" s="14">
        <f t="shared" si="286"/>
        <v>0.10559006211180111</v>
      </c>
      <c r="P211" s="14">
        <f t="shared" si="286"/>
        <v>6.2310949788263681E-2</v>
      </c>
      <c r="Q211" s="14">
        <f t="shared" si="286"/>
        <v>3.067824801330632E-2</v>
      </c>
      <c r="R211" s="14">
        <f t="shared" si="286"/>
        <v>-4.1641727233860615E-2</v>
      </c>
      <c r="S211" s="14"/>
      <c r="T211" s="14">
        <f t="shared" si="272"/>
        <v>5.2300412765529103E-2</v>
      </c>
      <c r="U211" s="14"/>
    </row>
    <row r="212" spans="2:21" ht="14.25" customHeight="1">
      <c r="B212" s="13" t="s">
        <v>262</v>
      </c>
      <c r="C212" s="14">
        <v>28918.52</v>
      </c>
      <c r="D212" s="3">
        <v>0.53</v>
      </c>
      <c r="E212" s="3">
        <v>3.22</v>
      </c>
      <c r="F212" s="3">
        <v>16.53</v>
      </c>
      <c r="G212" s="3">
        <v>54.11</v>
      </c>
      <c r="H212" s="3">
        <v>467.8</v>
      </c>
      <c r="J212" s="3">
        <v>198.66</v>
      </c>
      <c r="M212" s="14">
        <f t="shared" ref="M212:R212" si="287">C212/C213-1</f>
        <v>4.3370688804889035E-3</v>
      </c>
      <c r="N212" s="14">
        <f t="shared" si="287"/>
        <v>-0.13114754098360648</v>
      </c>
      <c r="O212" s="14">
        <f t="shared" si="287"/>
        <v>-0.17010309278350511</v>
      </c>
      <c r="P212" s="14">
        <f t="shared" si="287"/>
        <v>-2.2471910112359494E-2</v>
      </c>
      <c r="Q212" s="14">
        <f t="shared" si="287"/>
        <v>9.8917506532287813E-3</v>
      </c>
      <c r="R212" s="14">
        <f t="shared" si="287"/>
        <v>-7.0534472481621258E-2</v>
      </c>
      <c r="S212" s="14"/>
      <c r="T212" s="14">
        <f t="shared" si="272"/>
        <v>-4.5087483176312282E-2</v>
      </c>
      <c r="U212" s="14"/>
    </row>
    <row r="213" spans="2:21" ht="14.25" customHeight="1">
      <c r="B213" s="13" t="s">
        <v>263</v>
      </c>
      <c r="C213" s="14">
        <v>28793.64</v>
      </c>
      <c r="D213" s="3">
        <v>0.61</v>
      </c>
      <c r="E213" s="3">
        <v>3.88</v>
      </c>
      <c r="F213" s="3">
        <v>16.91</v>
      </c>
      <c r="G213" s="3">
        <v>53.58</v>
      </c>
      <c r="H213" s="3">
        <v>503.3</v>
      </c>
      <c r="J213" s="3">
        <v>208.04</v>
      </c>
      <c r="M213" s="14">
        <f t="shared" ref="M213:R213" si="288">C213/C214-1</f>
        <v>-2.5161467902953816E-2</v>
      </c>
      <c r="N213" s="14">
        <f t="shared" si="288"/>
        <v>-0.28235294117647058</v>
      </c>
      <c r="O213" s="14">
        <f t="shared" si="288"/>
        <v>-0.16198704103671702</v>
      </c>
      <c r="P213" s="14">
        <f t="shared" si="288"/>
        <v>6.7550505050504972E-2</v>
      </c>
      <c r="Q213" s="14">
        <f t="shared" si="288"/>
        <v>-9.0476998811746756E-2</v>
      </c>
      <c r="R213" s="14">
        <f t="shared" si="288"/>
        <v>5.9578947368421176E-2</v>
      </c>
      <c r="S213" s="14"/>
      <c r="T213" s="14">
        <f t="shared" si="272"/>
        <v>-0.12018946121965668</v>
      </c>
      <c r="U213" s="14"/>
    </row>
    <row r="214" spans="2:21" ht="14.25" customHeight="1">
      <c r="B214" s="13" t="s">
        <v>264</v>
      </c>
      <c r="C214" s="14">
        <v>29536.83</v>
      </c>
      <c r="D214" s="3">
        <v>0.85</v>
      </c>
      <c r="E214" s="3">
        <v>4.63</v>
      </c>
      <c r="F214" s="3">
        <v>15.84</v>
      </c>
      <c r="G214" s="3">
        <v>58.91</v>
      </c>
      <c r="H214" s="3">
        <v>475</v>
      </c>
      <c r="J214" s="3">
        <v>236.46</v>
      </c>
      <c r="M214" s="14">
        <f t="shared" ref="M214:R214" si="289">C214/C215-1</f>
        <v>-7.8497117282465556E-3</v>
      </c>
      <c r="N214" s="14">
        <f t="shared" si="289"/>
        <v>7.5949367088607556E-2</v>
      </c>
      <c r="O214" s="14">
        <f t="shared" si="289"/>
        <v>2.207505518763786E-2</v>
      </c>
      <c r="P214" s="14">
        <f t="shared" si="289"/>
        <v>-8.1402629931121018E-3</v>
      </c>
      <c r="Q214" s="14">
        <f t="shared" si="289"/>
        <v>7.5252266119376632E-3</v>
      </c>
      <c r="R214" s="14">
        <f t="shared" si="289"/>
        <v>1.5130791588305659E-2</v>
      </c>
      <c r="S214" s="14"/>
      <c r="T214" s="14">
        <f t="shared" si="272"/>
        <v>-3.6037505095801059E-2</v>
      </c>
      <c r="U214" s="14"/>
    </row>
    <row r="215" spans="2:21" ht="14.25" customHeight="1">
      <c r="B215" s="13" t="s">
        <v>265</v>
      </c>
      <c r="C215" s="14">
        <v>29770.52</v>
      </c>
      <c r="D215" s="3">
        <v>0.79</v>
      </c>
      <c r="E215" s="3">
        <v>4.53</v>
      </c>
      <c r="F215" s="3">
        <v>15.97</v>
      </c>
      <c r="G215" s="3">
        <v>58.47</v>
      </c>
      <c r="H215" s="3">
        <v>467.92</v>
      </c>
      <c r="J215" s="3">
        <v>245.3</v>
      </c>
      <c r="M215" s="14">
        <f t="shared" ref="M215:R215" si="290">C215/C216-1</f>
        <v>-5.3662472062550592E-2</v>
      </c>
      <c r="N215" s="14">
        <f t="shared" si="290"/>
        <v>-0.10227272727272718</v>
      </c>
      <c r="O215" s="14">
        <f t="shared" si="290"/>
        <v>1.5695067264574147E-2</v>
      </c>
      <c r="P215" s="14">
        <f t="shared" si="290"/>
        <v>5.9721300597213034E-2</v>
      </c>
      <c r="Q215" s="14">
        <f t="shared" si="290"/>
        <v>-2.1422594142259443E-2</v>
      </c>
      <c r="R215" s="14">
        <f t="shared" si="290"/>
        <v>-5.8511066398390321E-2</v>
      </c>
      <c r="S215" s="14"/>
      <c r="T215" s="14">
        <f t="shared" si="272"/>
        <v>1.8730013704888249E-2</v>
      </c>
      <c r="U215" s="14"/>
    </row>
    <row r="216" spans="2:21" ht="14.25" customHeight="1">
      <c r="B216" s="13" t="s">
        <v>266</v>
      </c>
      <c r="C216" s="14">
        <v>31458.67</v>
      </c>
      <c r="D216" s="3">
        <v>0.88</v>
      </c>
      <c r="E216" s="3">
        <v>4.46</v>
      </c>
      <c r="F216" s="3">
        <v>15.07</v>
      </c>
      <c r="G216" s="3">
        <v>59.75</v>
      </c>
      <c r="H216" s="3">
        <v>497</v>
      </c>
      <c r="J216" s="3">
        <v>240.79</v>
      </c>
      <c r="M216" s="14">
        <f t="shared" ref="M216:R216" si="291">C216/C217-1</f>
        <v>3.8370501373274912E-2</v>
      </c>
      <c r="N216" s="14">
        <f t="shared" si="291"/>
        <v>-3.2967032967032961E-2</v>
      </c>
      <c r="O216" s="14">
        <f t="shared" si="291"/>
        <v>-4.2918454935622408E-2</v>
      </c>
      <c r="P216" s="14">
        <f t="shared" si="291"/>
        <v>3.5738831615120148E-2</v>
      </c>
      <c r="Q216" s="14">
        <f t="shared" si="291"/>
        <v>9.6934092160822605E-2</v>
      </c>
      <c r="R216" s="14">
        <f t="shared" si="291"/>
        <v>-2.5184371567550601E-2</v>
      </c>
      <c r="S216" s="14"/>
      <c r="T216" s="14">
        <f t="shared" si="272"/>
        <v>4.2967904015246638E-2</v>
      </c>
      <c r="U216" s="14"/>
    </row>
    <row r="217" spans="2:21" ht="14.25" customHeight="1">
      <c r="B217" s="13" t="s">
        <v>267</v>
      </c>
      <c r="C217" s="14">
        <v>30296.19</v>
      </c>
      <c r="D217" s="3">
        <v>0.91</v>
      </c>
      <c r="E217" s="3">
        <v>4.66</v>
      </c>
      <c r="F217" s="3">
        <v>14.55</v>
      </c>
      <c r="G217" s="3">
        <v>54.47</v>
      </c>
      <c r="H217" s="3">
        <v>509.84</v>
      </c>
      <c r="J217" s="3">
        <v>230.87</v>
      </c>
      <c r="M217" s="14">
        <f t="shared" ref="M217:R217" si="292">C217/C218-1</f>
        <v>-1.7025912206001248E-3</v>
      </c>
      <c r="N217" s="14">
        <f t="shared" si="292"/>
        <v>7.0588235294117618E-2</v>
      </c>
      <c r="O217" s="14">
        <f t="shared" si="292"/>
        <v>0.16500000000000004</v>
      </c>
      <c r="P217" s="14">
        <f t="shared" si="292"/>
        <v>6.8775790921615787E-4</v>
      </c>
      <c r="Q217" s="14">
        <f t="shared" si="292"/>
        <v>0.10598984771573594</v>
      </c>
      <c r="R217" s="14">
        <f t="shared" si="292"/>
        <v>5.5569358178053863E-2</v>
      </c>
      <c r="S217" s="14"/>
      <c r="T217" s="14">
        <f t="shared" si="272"/>
        <v>0</v>
      </c>
      <c r="U217" s="14"/>
    </row>
    <row r="218" spans="2:21" ht="14.25" customHeight="1">
      <c r="B218" s="13" t="s">
        <v>268</v>
      </c>
      <c r="C218" s="14">
        <v>30347.86</v>
      </c>
      <c r="D218" s="3">
        <v>0.85</v>
      </c>
      <c r="E218" s="3">
        <v>4</v>
      </c>
      <c r="F218" s="3">
        <v>14.54</v>
      </c>
      <c r="G218" s="3">
        <v>49.25</v>
      </c>
      <c r="H218" s="3">
        <v>483</v>
      </c>
      <c r="J218" s="3">
        <v>230.87</v>
      </c>
      <c r="M218" s="14">
        <f t="shared" ref="M218:R218" si="293">C218/C219-1</f>
        <v>-1.0169714863113244E-2</v>
      </c>
      <c r="N218" s="14">
        <f t="shared" si="293"/>
        <v>0.11842105263157898</v>
      </c>
      <c r="O218" s="14">
        <f t="shared" si="293"/>
        <v>1.7811704834605591E-2</v>
      </c>
      <c r="P218" s="14">
        <f t="shared" si="293"/>
        <v>-5.0913838120104526E-2</v>
      </c>
      <c r="Q218" s="14">
        <f t="shared" si="293"/>
        <v>2.8828076039273176E-2</v>
      </c>
      <c r="R218" s="14">
        <f t="shared" si="293"/>
        <v>-3.4656433625134819E-2</v>
      </c>
      <c r="S218" s="14"/>
      <c r="T218" s="14">
        <f t="shared" si="272"/>
        <v>-4.8311966692773822E-2</v>
      </c>
      <c r="U218" s="14"/>
    </row>
    <row r="219" spans="2:21" ht="14.25" customHeight="1">
      <c r="B219" s="13" t="s">
        <v>269</v>
      </c>
      <c r="C219" s="14">
        <v>30659.66</v>
      </c>
      <c r="D219" s="3">
        <v>0.76</v>
      </c>
      <c r="E219" s="3">
        <v>3.93</v>
      </c>
      <c r="F219" s="3">
        <v>15.32</v>
      </c>
      <c r="G219" s="3">
        <v>47.87</v>
      </c>
      <c r="H219" s="3">
        <v>500.34</v>
      </c>
      <c r="J219" s="3">
        <v>242.59</v>
      </c>
      <c r="M219" s="14">
        <f t="shared" ref="M219:R219" si="294">C219/C220-1</f>
        <v>-1.5774428149291864E-2</v>
      </c>
      <c r="N219" s="14">
        <f t="shared" si="294"/>
        <v>0.10144927536231885</v>
      </c>
      <c r="O219" s="14">
        <f t="shared" si="294"/>
        <v>0.14912280701754388</v>
      </c>
      <c r="P219" s="14">
        <f t="shared" si="294"/>
        <v>-4.4887780548628409E-2</v>
      </c>
      <c r="Q219" s="14">
        <f t="shared" si="294"/>
        <v>-5.6934594168636776E-2</v>
      </c>
      <c r="R219" s="14">
        <f t="shared" si="294"/>
        <v>-5.1811704063068453E-2</v>
      </c>
      <c r="S219" s="14"/>
      <c r="T219" s="14">
        <f t="shared" si="272"/>
        <v>1.1803470136803496E-2</v>
      </c>
      <c r="U219" s="14"/>
    </row>
    <row r="220" spans="2:21" ht="14.25" customHeight="1">
      <c r="B220" s="13" t="s">
        <v>270</v>
      </c>
      <c r="C220" s="14">
        <v>31151.05</v>
      </c>
      <c r="D220" s="3">
        <v>0.69</v>
      </c>
      <c r="E220" s="3">
        <v>3.42</v>
      </c>
      <c r="F220" s="3">
        <v>16.04</v>
      </c>
      <c r="G220" s="3">
        <v>50.76</v>
      </c>
      <c r="H220" s="3">
        <v>527.67999999999995</v>
      </c>
      <c r="J220" s="3">
        <v>239.76</v>
      </c>
      <c r="M220" s="14">
        <f t="shared" ref="M220:R220" si="295">C220/C221-1</f>
        <v>-7.8954844364271803E-3</v>
      </c>
      <c r="N220" s="14">
        <f t="shared" si="295"/>
        <v>0.18965517241379315</v>
      </c>
      <c r="O220" s="14">
        <f t="shared" si="295"/>
        <v>-1.1560693641618491E-2</v>
      </c>
      <c r="P220" s="14">
        <f t="shared" si="295"/>
        <v>1.0712035286704502E-2</v>
      </c>
      <c r="Q220" s="14">
        <f t="shared" si="295"/>
        <v>4.1543026706232222E-3</v>
      </c>
      <c r="R220" s="14">
        <f t="shared" si="295"/>
        <v>-5.7714285714285829E-2</v>
      </c>
      <c r="S220" s="14"/>
      <c r="T220" s="14">
        <f t="shared" si="272"/>
        <v>-1.5318904267115796E-2</v>
      </c>
      <c r="U220" s="14"/>
    </row>
    <row r="221" spans="2:21" ht="14.25" customHeight="1">
      <c r="B221" s="13" t="s">
        <v>271</v>
      </c>
      <c r="C221" s="14">
        <v>31398.959999999999</v>
      </c>
      <c r="D221" s="3">
        <v>0.57999999999999996</v>
      </c>
      <c r="E221" s="3">
        <v>3.46</v>
      </c>
      <c r="F221" s="3">
        <v>15.87</v>
      </c>
      <c r="G221" s="3">
        <v>50.55</v>
      </c>
      <c r="H221" s="3">
        <v>560</v>
      </c>
      <c r="J221" s="3">
        <v>243.49</v>
      </c>
      <c r="M221" s="14">
        <f t="shared" ref="M221:R221" si="296">C221/C222-1</f>
        <v>8.2845605587668292E-2</v>
      </c>
      <c r="N221" s="14">
        <f t="shared" si="296"/>
        <v>5.4545454545454453E-2</v>
      </c>
      <c r="O221" s="14">
        <f t="shared" si="296"/>
        <v>0.12703583061889256</v>
      </c>
      <c r="P221" s="14">
        <f t="shared" si="296"/>
        <v>-6.2617407639324885E-3</v>
      </c>
      <c r="Q221" s="14">
        <f t="shared" si="296"/>
        <v>4.7017398508699237E-2</v>
      </c>
      <c r="R221" s="14">
        <f t="shared" si="296"/>
        <v>-1.7543859649122862E-2</v>
      </c>
      <c r="S221" s="14"/>
      <c r="T221" s="14">
        <f t="shared" si="272"/>
        <v>1.8829239717143009E-2</v>
      </c>
      <c r="U221" s="14"/>
    </row>
    <row r="222" spans="2:21" ht="14.25" customHeight="1">
      <c r="B222" s="13" t="s">
        <v>272</v>
      </c>
      <c r="C222" s="14">
        <v>28996.71</v>
      </c>
      <c r="D222" s="3">
        <v>0.55000000000000004</v>
      </c>
      <c r="E222" s="3">
        <v>3.07</v>
      </c>
      <c r="F222" s="3">
        <v>15.97</v>
      </c>
      <c r="G222" s="3">
        <v>48.28</v>
      </c>
      <c r="H222" s="3">
        <v>570</v>
      </c>
      <c r="J222" s="3">
        <v>238.99</v>
      </c>
      <c r="M222" s="14">
        <f t="shared" ref="M222:R222" si="297">C222/C223-1</f>
        <v>8.6622612112485786E-3</v>
      </c>
      <c r="N222" s="14">
        <f t="shared" si="297"/>
        <v>0.14583333333333348</v>
      </c>
      <c r="O222" s="14">
        <f t="shared" si="297"/>
        <v>0.54271356783919589</v>
      </c>
      <c r="P222" s="14">
        <f t="shared" si="297"/>
        <v>2.0447284345047834E-2</v>
      </c>
      <c r="Q222" s="14">
        <f t="shared" si="297"/>
        <v>7.1698113207547154E-2</v>
      </c>
      <c r="R222" s="14">
        <f t="shared" si="297"/>
        <v>6.7655652955720402E-2</v>
      </c>
      <c r="S222" s="14"/>
      <c r="T222" s="14">
        <f t="shared" si="272"/>
        <v>-1.8481251796788389E-2</v>
      </c>
      <c r="U222" s="14"/>
    </row>
    <row r="223" spans="2:21" ht="14.25" customHeight="1">
      <c r="B223" s="13" t="s">
        <v>273</v>
      </c>
      <c r="C223" s="14">
        <v>28747.69</v>
      </c>
      <c r="D223" s="3">
        <v>0.48</v>
      </c>
      <c r="E223" s="3">
        <v>1.99</v>
      </c>
      <c r="F223" s="3">
        <v>15.65</v>
      </c>
      <c r="G223" s="3">
        <v>45.05</v>
      </c>
      <c r="H223" s="3">
        <v>533.88</v>
      </c>
      <c r="J223" s="3">
        <v>243.49</v>
      </c>
      <c r="M223" s="14">
        <f t="shared" ref="M223:R223" si="298">C223/C224-1</f>
        <v>7.9160026953014162E-2</v>
      </c>
      <c r="N223" s="14">
        <f t="shared" si="298"/>
        <v>-7.6923076923076983E-2</v>
      </c>
      <c r="O223" s="14">
        <f t="shared" si="298"/>
        <v>1.5306122448979664E-2</v>
      </c>
      <c r="P223" s="14">
        <f t="shared" si="298"/>
        <v>-2.7950310559006319E-2</v>
      </c>
      <c r="Q223" s="14">
        <f t="shared" si="298"/>
        <v>3.112840466926059E-2</v>
      </c>
      <c r="R223" s="14">
        <f t="shared" si="298"/>
        <v>-2.6565776278603459E-2</v>
      </c>
      <c r="S223" s="14"/>
      <c r="T223" s="14">
        <f t="shared" si="272"/>
        <v>-4.049410994764302E-3</v>
      </c>
      <c r="U223" s="14"/>
    </row>
    <row r="224" spans="2:21" ht="14.25" customHeight="1">
      <c r="B224" s="13" t="s">
        <v>274</v>
      </c>
      <c r="C224" s="14">
        <v>26638.95</v>
      </c>
      <c r="D224" s="3">
        <v>0.52</v>
      </c>
      <c r="E224" s="3">
        <v>1.96</v>
      </c>
      <c r="F224" s="3">
        <v>16.100000000000001</v>
      </c>
      <c r="G224" s="3">
        <v>43.69</v>
      </c>
      <c r="H224" s="3">
        <v>548.45000000000005</v>
      </c>
      <c r="J224" s="3">
        <v>244.48</v>
      </c>
      <c r="M224" s="14">
        <f t="shared" ref="M224:R224" si="299">C224/C225-1</f>
        <v>-3.3472065552334063E-2</v>
      </c>
      <c r="N224" s="14">
        <f t="shared" si="299"/>
        <v>1.9607843137254832E-2</v>
      </c>
      <c r="O224" s="14">
        <f t="shared" si="299"/>
        <v>4.2553191489361764E-2</v>
      </c>
      <c r="P224" s="14">
        <f t="shared" si="299"/>
        <v>1.2578616352201255E-2</v>
      </c>
      <c r="Q224" s="14">
        <f t="shared" si="299"/>
        <v>-1.4881623449831016E-2</v>
      </c>
      <c r="R224" s="14">
        <f t="shared" si="299"/>
        <v>-2.2736587017337495E-2</v>
      </c>
      <c r="S224" s="14"/>
      <c r="T224" s="14">
        <f t="shared" si="272"/>
        <v>-1.5543206893774753E-2</v>
      </c>
      <c r="U224" s="14"/>
    </row>
    <row r="225" spans="2:21" ht="14.25" customHeight="1">
      <c r="B225" s="13" t="s">
        <v>275</v>
      </c>
      <c r="C225" s="14">
        <v>27561.49</v>
      </c>
      <c r="D225" s="3">
        <v>0.51</v>
      </c>
      <c r="E225" s="3">
        <v>1.88</v>
      </c>
      <c r="F225" s="3">
        <v>15.9</v>
      </c>
      <c r="G225" s="3">
        <v>44.35</v>
      </c>
      <c r="H225" s="3">
        <v>561.21</v>
      </c>
      <c r="J225" s="3">
        <v>248.34</v>
      </c>
      <c r="M225" s="14">
        <f t="shared" ref="M225:R225" si="300">C225/C226-1</f>
        <v>4.2088495601989129E-2</v>
      </c>
      <c r="N225" s="14">
        <f t="shared" si="300"/>
        <v>-0.17741935483870963</v>
      </c>
      <c r="O225" s="14">
        <f t="shared" si="300"/>
        <v>-4.5685279187817285E-2</v>
      </c>
      <c r="P225" s="14">
        <f t="shared" si="300"/>
        <v>3.3138401559454245E-2</v>
      </c>
      <c r="Q225" s="14">
        <f t="shared" si="300"/>
        <v>4.5116174148440713E-4</v>
      </c>
      <c r="R225" s="14">
        <f t="shared" si="300"/>
        <v>5.8088235294117663E-2</v>
      </c>
      <c r="S225" s="14"/>
      <c r="T225" s="14">
        <f t="shared" si="272"/>
        <v>5.5059903135355581E-2</v>
      </c>
      <c r="U225" s="14"/>
    </row>
    <row r="226" spans="2:21" ht="14.25" customHeight="1">
      <c r="B226" s="13" t="s">
        <v>276</v>
      </c>
      <c r="C226" s="14">
        <v>26448.32</v>
      </c>
      <c r="D226" s="3">
        <v>0.62</v>
      </c>
      <c r="E226" s="3">
        <v>1.97</v>
      </c>
      <c r="F226" s="3">
        <v>15.39</v>
      </c>
      <c r="G226" s="3">
        <v>44.33</v>
      </c>
      <c r="H226" s="3">
        <v>530.4</v>
      </c>
      <c r="J226" s="3">
        <v>235.38</v>
      </c>
      <c r="M226" s="14">
        <f t="shared" ref="M226:R226" si="301">C226/C227-1</f>
        <v>5.9542881362518507E-2</v>
      </c>
      <c r="N226" s="14">
        <f t="shared" si="301"/>
        <v>0</v>
      </c>
      <c r="O226" s="14">
        <f t="shared" si="301"/>
        <v>-2.4752475247524774E-2</v>
      </c>
      <c r="P226" s="14">
        <f t="shared" si="301"/>
        <v>1.3012361743658385E-3</v>
      </c>
      <c r="Q226" s="14">
        <f t="shared" si="301"/>
        <v>5.6230640934000542E-2</v>
      </c>
      <c r="R226" s="14">
        <f t="shared" si="301"/>
        <v>3.8574505580575735E-2</v>
      </c>
      <c r="S226" s="14"/>
      <c r="T226" s="14">
        <f t="shared" si="272"/>
        <v>-2.181772846278518E-2</v>
      </c>
      <c r="U226" s="14"/>
    </row>
    <row r="227" spans="2:21" ht="14.25" customHeight="1">
      <c r="B227" s="13" t="s">
        <v>277</v>
      </c>
      <c r="C227" s="14">
        <v>24962.01</v>
      </c>
      <c r="D227" s="3">
        <v>0.62</v>
      </c>
      <c r="E227" s="3">
        <v>2.02</v>
      </c>
      <c r="F227" s="3">
        <v>15.37</v>
      </c>
      <c r="G227" s="3">
        <v>41.97</v>
      </c>
      <c r="H227" s="3">
        <v>510.7</v>
      </c>
      <c r="J227" s="3">
        <v>240.63</v>
      </c>
      <c r="M227" s="14">
        <f t="shared" ref="M227:R227" si="302">C227/C228-1</f>
        <v>8.3093858406426691E-2</v>
      </c>
      <c r="N227" s="14">
        <f t="shared" si="302"/>
        <v>6.8965517241379448E-2</v>
      </c>
      <c r="O227" s="14">
        <f t="shared" si="302"/>
        <v>6.315789473684208E-2</v>
      </c>
      <c r="P227" s="14">
        <f t="shared" si="302"/>
        <v>-6.4516129032258118E-2</v>
      </c>
      <c r="Q227" s="14">
        <f t="shared" si="302"/>
        <v>1.1927480916029687E-3</v>
      </c>
      <c r="R227" s="14">
        <f t="shared" si="302"/>
        <v>-4.9101749736956135E-3</v>
      </c>
      <c r="S227" s="14"/>
      <c r="T227" s="14">
        <f t="shared" si="272"/>
        <v>3.1816817460657676E-2</v>
      </c>
      <c r="U227" s="14"/>
    </row>
    <row r="228" spans="2:21" ht="14.25" customHeight="1">
      <c r="B228" s="13" t="s">
        <v>278</v>
      </c>
      <c r="C228" s="14">
        <v>23046.95</v>
      </c>
      <c r="D228" s="3">
        <v>0.57999999999999996</v>
      </c>
      <c r="E228" s="3">
        <v>1.9</v>
      </c>
      <c r="F228" s="3">
        <v>16.43</v>
      </c>
      <c r="G228" s="3">
        <v>41.92</v>
      </c>
      <c r="H228" s="3">
        <v>513.22</v>
      </c>
      <c r="J228" s="3">
        <v>233.21</v>
      </c>
      <c r="M228" s="14">
        <f t="shared" ref="M228:R228" si="303">C228/C229-1</f>
        <v>5.0591896562491634E-2</v>
      </c>
      <c r="N228" s="14">
        <f t="shared" si="303"/>
        <v>0.18367346938775508</v>
      </c>
      <c r="O228" s="14">
        <f t="shared" si="303"/>
        <v>0.18012422360248426</v>
      </c>
      <c r="P228" s="14">
        <f t="shared" si="303"/>
        <v>-6.082725060828631E-4</v>
      </c>
      <c r="Q228" s="14">
        <f t="shared" si="303"/>
        <v>7.1574642126789545E-2</v>
      </c>
      <c r="R228" s="14">
        <f t="shared" si="303"/>
        <v>-2.1039580352885001E-2</v>
      </c>
      <c r="S228" s="14"/>
      <c r="T228" s="14">
        <f t="shared" si="272"/>
        <v>1.8073078098397977E-2</v>
      </c>
      <c r="U228" s="14"/>
    </row>
    <row r="229" spans="2:21" ht="14.25" customHeight="1">
      <c r="B229" s="13" t="s">
        <v>279</v>
      </c>
      <c r="C229" s="14">
        <v>21937.11</v>
      </c>
      <c r="D229" s="3">
        <v>0.49</v>
      </c>
      <c r="E229" s="3">
        <v>1.61</v>
      </c>
      <c r="F229" s="3">
        <v>16.440000000000001</v>
      </c>
      <c r="G229" s="3">
        <v>39.119999999999997</v>
      </c>
      <c r="H229" s="3">
        <v>524.25</v>
      </c>
      <c r="J229" s="3">
        <v>229.07</v>
      </c>
      <c r="M229" s="14">
        <f t="shared" ref="M229:R229" si="304">C229/C230-1</f>
        <v>4.2175174055256059E-2</v>
      </c>
      <c r="N229" s="14">
        <f t="shared" si="304"/>
        <v>0</v>
      </c>
      <c r="O229" s="14">
        <f t="shared" si="304"/>
        <v>4.5454545454545414E-2</v>
      </c>
      <c r="P229" s="14">
        <f t="shared" si="304"/>
        <v>0.10261569416499006</v>
      </c>
      <c r="Q229" s="14">
        <f t="shared" si="304"/>
        <v>8.969359331476312E-2</v>
      </c>
      <c r="R229" s="14">
        <f t="shared" si="304"/>
        <v>4.6407185628742464E-2</v>
      </c>
      <c r="S229" s="14"/>
      <c r="T229" s="14">
        <f t="shared" si="272"/>
        <v>1.6011709394127438E-2</v>
      </c>
      <c r="U229" s="14"/>
    </row>
    <row r="230" spans="2:21" ht="14.25" customHeight="1">
      <c r="B230" s="13" t="s">
        <v>280</v>
      </c>
      <c r="C230" s="14">
        <v>21049.35</v>
      </c>
      <c r="D230" s="3">
        <v>0.49</v>
      </c>
      <c r="E230" s="3">
        <v>1.54</v>
      </c>
      <c r="F230" s="3">
        <v>14.91</v>
      </c>
      <c r="G230" s="3">
        <v>35.9</v>
      </c>
      <c r="H230" s="3">
        <v>501</v>
      </c>
      <c r="J230" s="3">
        <v>225.46</v>
      </c>
      <c r="M230" s="14">
        <f t="shared" ref="M230:R230" si="305">C230/C231-1</f>
        <v>4.7443437551782708E-2</v>
      </c>
      <c r="N230" s="14">
        <f t="shared" si="305"/>
        <v>0.32432432432432434</v>
      </c>
      <c r="O230" s="14">
        <f t="shared" si="305"/>
        <v>0.14925373134328357</v>
      </c>
      <c r="P230" s="14">
        <f t="shared" si="305"/>
        <v>5.3944706675657095E-3</v>
      </c>
      <c r="Q230" s="14">
        <f t="shared" si="305"/>
        <v>1.4410850522746488E-2</v>
      </c>
      <c r="R230" s="14">
        <f t="shared" si="305"/>
        <v>1.5526817205173016E-2</v>
      </c>
      <c r="S230" s="14"/>
      <c r="T230" s="14">
        <f t="shared" si="272"/>
        <v>6.8378903473439889E-2</v>
      </c>
      <c r="U230" s="14"/>
    </row>
    <row r="231" spans="2:21" ht="14.25" customHeight="1">
      <c r="B231" s="13" t="s">
        <v>281</v>
      </c>
      <c r="C231" s="14">
        <v>20095.93</v>
      </c>
      <c r="D231" s="3">
        <v>0.37</v>
      </c>
      <c r="E231" s="3">
        <v>1.34</v>
      </c>
      <c r="F231" s="3">
        <v>14.83</v>
      </c>
      <c r="G231" s="3">
        <v>35.39</v>
      </c>
      <c r="H231" s="3">
        <v>493.34</v>
      </c>
      <c r="J231" s="3">
        <v>211.03</v>
      </c>
      <c r="M231" s="14">
        <f t="shared" ref="M231:Q231" si="306">C231/C232-1</f>
        <v>4.9550925802612111E-2</v>
      </c>
      <c r="N231" s="14">
        <f t="shared" si="306"/>
        <v>5.7142857142857162E-2</v>
      </c>
      <c r="O231" s="14">
        <f t="shared" si="306"/>
        <v>-0.30569948186528495</v>
      </c>
      <c r="P231" s="14">
        <f t="shared" si="306"/>
        <v>-7.6587795765877931E-2</v>
      </c>
      <c r="Q231" s="14">
        <f t="shared" si="306"/>
        <v>5.3273809523809446E-2</v>
      </c>
      <c r="R231" s="14"/>
      <c r="S231" s="14"/>
      <c r="T231" s="14">
        <f t="shared" si="272"/>
        <v>8.6029728050471821E-3</v>
      </c>
      <c r="U231" s="14"/>
    </row>
    <row r="232" spans="2:21" ht="14.25" customHeight="1">
      <c r="B232" s="13" t="s">
        <v>282</v>
      </c>
      <c r="C232" s="14">
        <v>19147.169999999998</v>
      </c>
      <c r="D232" s="3">
        <v>0.35</v>
      </c>
      <c r="E232" s="3">
        <v>1.93</v>
      </c>
      <c r="F232" s="3">
        <v>16.059999999999999</v>
      </c>
      <c r="G232" s="3">
        <v>33.6</v>
      </c>
      <c r="J232" s="3">
        <v>209.23</v>
      </c>
      <c r="M232" s="14">
        <f t="shared" ref="M232:Q232" si="307">C232/C233-1</f>
        <v>2.5123247128159942E-2</v>
      </c>
      <c r="N232" s="14">
        <f t="shared" si="307"/>
        <v>-7.8947368421052655E-2</v>
      </c>
      <c r="O232" s="14">
        <f t="shared" si="307"/>
        <v>0.11560693641618491</v>
      </c>
      <c r="P232" s="14">
        <f t="shared" si="307"/>
        <v>-5.5727554179566541E-3</v>
      </c>
      <c r="Q232" s="14">
        <f t="shared" si="307"/>
        <v>1.2963521254145238E-2</v>
      </c>
      <c r="R232" s="14"/>
      <c r="S232" s="14"/>
      <c r="T232" s="14">
        <f t="shared" si="272"/>
        <v>5.9618250877444545E-3</v>
      </c>
      <c r="U232" s="14"/>
    </row>
    <row r="233" spans="2:21" ht="14.25" customHeight="1">
      <c r="B233" s="13" t="s">
        <v>283</v>
      </c>
      <c r="C233" s="14">
        <v>18677.919999999998</v>
      </c>
      <c r="D233" s="3">
        <v>0.38</v>
      </c>
      <c r="E233" s="3">
        <v>1.73</v>
      </c>
      <c r="F233" s="3">
        <v>16.149999999999999</v>
      </c>
      <c r="G233" s="3">
        <v>33.17</v>
      </c>
      <c r="J233" s="3">
        <v>207.99</v>
      </c>
      <c r="M233" s="14">
        <f t="shared" ref="M233:Q233" si="308">C233/C234-1</f>
        <v>-9.5333327844023596E-2</v>
      </c>
      <c r="N233" s="14">
        <f t="shared" si="308"/>
        <v>-0.22448979591836737</v>
      </c>
      <c r="O233" s="14">
        <f t="shared" si="308"/>
        <v>-1.7045454545454586E-2</v>
      </c>
      <c r="P233" s="14">
        <f t="shared" si="308"/>
        <v>7.5949367088607556E-2</v>
      </c>
      <c r="Q233" s="14">
        <f t="shared" si="308"/>
        <v>-4.0497541220711586E-2</v>
      </c>
      <c r="R233" s="14"/>
      <c r="S233" s="14"/>
      <c r="T233" s="14">
        <f t="shared" si="272"/>
        <v>-5.8655804480651663E-2</v>
      </c>
      <c r="U233" s="14"/>
    </row>
    <row r="234" spans="2:21" ht="14.25" customHeight="1">
      <c r="B234" s="13" t="s">
        <v>284</v>
      </c>
      <c r="C234" s="14">
        <v>20646.189999999999</v>
      </c>
      <c r="D234" s="3">
        <v>0.49</v>
      </c>
      <c r="E234" s="3">
        <v>1.76</v>
      </c>
      <c r="F234" s="3">
        <v>15.01</v>
      </c>
      <c r="G234" s="3">
        <v>34.57</v>
      </c>
      <c r="J234" s="3">
        <v>220.95</v>
      </c>
      <c r="M234" s="14">
        <f t="shared" ref="M234:Q234" si="309">C234/C235-1</f>
        <v>7.1269982353212802E-2</v>
      </c>
      <c r="N234" s="14">
        <f t="shared" si="309"/>
        <v>2.0833333333333259E-2</v>
      </c>
      <c r="O234" s="14">
        <f t="shared" si="309"/>
        <v>-3.8251366120218622E-2</v>
      </c>
      <c r="P234" s="14">
        <f t="shared" si="309"/>
        <v>-4.6984126984127017E-2</v>
      </c>
      <c r="Q234" s="14">
        <f t="shared" si="309"/>
        <v>6.1117578579743537E-3</v>
      </c>
      <c r="R234" s="14"/>
      <c r="S234" s="14"/>
      <c r="T234" s="14">
        <f t="shared" si="272"/>
        <v>8.4044745363555995E-2</v>
      </c>
      <c r="U234" s="14"/>
    </row>
    <row r="235" spans="2:21" ht="14.25" customHeight="1">
      <c r="B235" s="13" t="s">
        <v>285</v>
      </c>
      <c r="C235" s="14">
        <v>19272.63</v>
      </c>
      <c r="D235" s="3">
        <v>0.48</v>
      </c>
      <c r="E235" s="3">
        <v>1.83</v>
      </c>
      <c r="F235" s="3">
        <v>15.75</v>
      </c>
      <c r="G235" s="3">
        <v>34.36</v>
      </c>
      <c r="J235" s="3">
        <v>203.82</v>
      </c>
      <c r="M235" s="14">
        <f t="shared" ref="M235:Q235" si="310">C235/C236-1</f>
        <v>3.0273725671323914E-2</v>
      </c>
      <c r="N235" s="14">
        <f t="shared" si="310"/>
        <v>0.23076923076923062</v>
      </c>
      <c r="O235" s="14">
        <f t="shared" si="310"/>
        <v>-2.1390374331550777E-2</v>
      </c>
      <c r="P235" s="14">
        <f t="shared" si="310"/>
        <v>4.1666666666666741E-2</v>
      </c>
      <c r="Q235" s="14">
        <f t="shared" si="310"/>
        <v>-1.5754798052133978E-2</v>
      </c>
      <c r="R235" s="14"/>
      <c r="S235" s="14"/>
      <c r="T235" s="14">
        <f t="shared" si="272"/>
        <v>6.1065125722317593E-2</v>
      </c>
      <c r="U235" s="14"/>
    </row>
    <row r="236" spans="2:21" ht="14.25" customHeight="1">
      <c r="B236" s="13" t="s">
        <v>286</v>
      </c>
      <c r="C236" s="14">
        <v>18706.32</v>
      </c>
      <c r="D236" s="3">
        <v>0.39</v>
      </c>
      <c r="E236" s="3">
        <v>1.87</v>
      </c>
      <c r="F236" s="3">
        <v>15.12</v>
      </c>
      <c r="G236" s="3">
        <v>34.909999999999997</v>
      </c>
      <c r="J236" s="3">
        <v>192.09</v>
      </c>
      <c r="M236" s="14">
        <f t="shared" ref="M236:Q236" si="311">C236/C237-1</f>
        <v>-1.0619291165752442E-2</v>
      </c>
      <c r="N236" s="14">
        <f t="shared" si="311"/>
        <v>5.4054054054054168E-2</v>
      </c>
      <c r="O236" s="14">
        <f t="shared" si="311"/>
        <v>-0.16517857142857151</v>
      </c>
      <c r="P236" s="14">
        <f t="shared" si="311"/>
        <v>-1.6265452179570539E-2</v>
      </c>
      <c r="Q236" s="14">
        <f t="shared" si="311"/>
        <v>-2.8563267637817802E-3</v>
      </c>
      <c r="R236" s="14"/>
      <c r="S236" s="14"/>
      <c r="T236" s="14">
        <f t="shared" si="272"/>
        <v>5.2857441909146541E-3</v>
      </c>
      <c r="U236" s="14"/>
    </row>
    <row r="237" spans="2:21" ht="14.25" customHeight="1">
      <c r="B237" s="13" t="s">
        <v>287</v>
      </c>
      <c r="C237" s="14">
        <v>18907.099999999999</v>
      </c>
      <c r="D237" s="3">
        <v>0.37</v>
      </c>
      <c r="E237" s="3">
        <v>2.2400000000000002</v>
      </c>
      <c r="F237" s="3">
        <v>15.37</v>
      </c>
      <c r="G237" s="3">
        <v>35.01</v>
      </c>
      <c r="J237" s="3">
        <v>191.08</v>
      </c>
      <c r="M237" s="14">
        <f t="shared" ref="M237:Q237" si="312">C237/C238-1</f>
        <v>6.2034937377511534E-2</v>
      </c>
      <c r="N237" s="14">
        <f t="shared" si="312"/>
        <v>0.23333333333333339</v>
      </c>
      <c r="O237" s="14">
        <f t="shared" si="312"/>
        <v>-5.0847457627118509E-2</v>
      </c>
      <c r="P237" s="14">
        <f t="shared" si="312"/>
        <v>-1.4743589743589802E-2</v>
      </c>
      <c r="Q237" s="14">
        <f t="shared" si="312"/>
        <v>3.8256227758007189E-2</v>
      </c>
      <c r="R237" s="14"/>
      <c r="S237" s="14"/>
      <c r="T237" s="14">
        <f t="shared" si="272"/>
        <v>9.7845446710715267E-2</v>
      </c>
      <c r="U237" s="14"/>
    </row>
    <row r="238" spans="2:21" ht="14.25" customHeight="1">
      <c r="B238" s="13" t="s">
        <v>288</v>
      </c>
      <c r="C238" s="14">
        <v>17802.71</v>
      </c>
      <c r="D238" s="3">
        <v>0.3</v>
      </c>
      <c r="E238" s="3">
        <v>2.36</v>
      </c>
      <c r="F238" s="3">
        <v>15.6</v>
      </c>
      <c r="G238" s="3">
        <v>33.72</v>
      </c>
      <c r="J238" s="3">
        <v>174.05</v>
      </c>
      <c r="M238" s="14">
        <f t="shared" ref="M238:Q238" si="313">C238/C239-1</f>
        <v>5.7735862957311923E-2</v>
      </c>
      <c r="N238" s="14">
        <f t="shared" si="313"/>
        <v>0</v>
      </c>
      <c r="O238" s="14">
        <f t="shared" si="313"/>
        <v>-2.4793388429752095E-2</v>
      </c>
      <c r="P238" s="14">
        <f t="shared" si="313"/>
        <v>-3.6442248301420732E-2</v>
      </c>
      <c r="Q238" s="14">
        <f t="shared" si="313"/>
        <v>-3.8404726735599137E-3</v>
      </c>
      <c r="R238" s="14"/>
      <c r="S238" s="14"/>
      <c r="T238" s="14">
        <f t="shared" si="272"/>
        <v>4.0595480090876546E-2</v>
      </c>
      <c r="U238" s="14"/>
    </row>
    <row r="239" spans="2:21" ht="14.25" customHeight="1">
      <c r="B239" s="13" t="s">
        <v>289</v>
      </c>
      <c r="C239" s="14">
        <v>16830.96</v>
      </c>
      <c r="D239" s="3">
        <v>0.3</v>
      </c>
      <c r="E239" s="3">
        <v>2.42</v>
      </c>
      <c r="F239" s="3">
        <v>16.190000000000001</v>
      </c>
      <c r="G239" s="3">
        <v>33.85</v>
      </c>
      <c r="J239" s="3">
        <v>167.26</v>
      </c>
      <c r="M239" s="14">
        <f t="shared" ref="M239:Q239" si="314">C239/C240-1</f>
        <v>6.79726112059027E-2</v>
      </c>
      <c r="N239" s="14">
        <f t="shared" si="314"/>
        <v>7.1428571428571397E-2</v>
      </c>
      <c r="O239" s="14">
        <f t="shared" si="314"/>
        <v>0.21608040201005019</v>
      </c>
      <c r="P239" s="14">
        <f t="shared" si="314"/>
        <v>2.6632847178186481E-2</v>
      </c>
      <c r="Q239" s="14">
        <f t="shared" si="314"/>
        <v>7.1202531645569556E-2</v>
      </c>
      <c r="R239" s="14"/>
      <c r="S239" s="14"/>
      <c r="T239" s="14">
        <f t="shared" si="272"/>
        <v>-2.0840650977637321E-2</v>
      </c>
      <c r="U239" s="14"/>
    </row>
    <row r="240" spans="2:21" ht="14.25" customHeight="1">
      <c r="B240" s="13" t="s">
        <v>290</v>
      </c>
      <c r="C240" s="14">
        <v>15759.73</v>
      </c>
      <c r="D240" s="3">
        <v>0.28000000000000003</v>
      </c>
      <c r="E240" s="3">
        <v>1.99</v>
      </c>
      <c r="F240" s="3">
        <v>15.77</v>
      </c>
      <c r="G240" s="3">
        <v>31.6</v>
      </c>
      <c r="J240" s="3">
        <v>170.82</v>
      </c>
      <c r="M240" s="14">
        <f t="shared" ref="M240:Q240" si="315">C240/C241-1</f>
        <v>-2.2354107423784519E-2</v>
      </c>
      <c r="N240" s="14">
        <f t="shared" si="315"/>
        <v>-3.4482758620689502E-2</v>
      </c>
      <c r="O240" s="14">
        <f t="shared" si="315"/>
        <v>-0.12334801762114533</v>
      </c>
      <c r="P240" s="14">
        <f t="shared" si="315"/>
        <v>7.9397672826830856E-2</v>
      </c>
      <c r="Q240" s="14">
        <f t="shared" si="315"/>
        <v>-5.6434756643774286E-2</v>
      </c>
      <c r="R240" s="14"/>
      <c r="S240" s="14"/>
      <c r="T240" s="14">
        <f t="shared" si="272"/>
        <v>2.170724552654768E-3</v>
      </c>
      <c r="U240" s="14"/>
    </row>
    <row r="241" spans="2:21" ht="14.25" customHeight="1">
      <c r="B241" s="13" t="s">
        <v>291</v>
      </c>
      <c r="C241" s="14">
        <v>16120.08</v>
      </c>
      <c r="D241" s="3">
        <v>0.28999999999999998</v>
      </c>
      <c r="E241" s="3">
        <v>2.27</v>
      </c>
      <c r="F241" s="3">
        <v>14.61</v>
      </c>
      <c r="G241" s="3">
        <v>33.49</v>
      </c>
      <c r="J241" s="3">
        <v>170.45</v>
      </c>
      <c r="M241" s="14">
        <f t="shared" ref="M241:Q241" si="316">C241/C242-1</f>
        <v>0.13177455331284627</v>
      </c>
      <c r="N241" s="14">
        <f t="shared" si="316"/>
        <v>0.1153846153846152</v>
      </c>
      <c r="O241" s="14">
        <f t="shared" si="316"/>
        <v>6.5727699530516492E-2</v>
      </c>
      <c r="P241" s="14">
        <f t="shared" si="316"/>
        <v>-2.5350233488992679E-2</v>
      </c>
      <c r="Q241" s="14">
        <f t="shared" si="316"/>
        <v>3.2049306625577811E-2</v>
      </c>
      <c r="R241" s="14"/>
      <c r="S241" s="14"/>
      <c r="T241" s="14"/>
      <c r="U241" s="14"/>
    </row>
    <row r="242" spans="2:21" ht="14.25" customHeight="1">
      <c r="B242" s="13" t="s">
        <v>292</v>
      </c>
      <c r="C242" s="14">
        <v>14243.19</v>
      </c>
      <c r="D242" s="3">
        <v>0.26</v>
      </c>
      <c r="E242" s="3">
        <v>2.13</v>
      </c>
      <c r="F242" s="3">
        <v>14.99</v>
      </c>
      <c r="G242" s="3">
        <v>32.450000000000003</v>
      </c>
      <c r="M242" s="14">
        <f t="shared" ref="M242:Q242" si="317">C242/C243-1</f>
        <v>-1.1552666752720042E-2</v>
      </c>
      <c r="N242" s="14">
        <f t="shared" si="317"/>
        <v>0.13043478260869557</v>
      </c>
      <c r="O242" s="14">
        <f t="shared" si="317"/>
        <v>-5.7522123893805288E-2</v>
      </c>
      <c r="P242" s="14">
        <f t="shared" si="317"/>
        <v>-8.8753799392097266E-2</v>
      </c>
      <c r="Q242" s="14">
        <f t="shared" si="317"/>
        <v>4.1065126724414425E-2</v>
      </c>
      <c r="R242" s="14"/>
      <c r="S242" s="14"/>
      <c r="T242" s="14"/>
      <c r="U242" s="14"/>
    </row>
    <row r="243" spans="2:21" ht="14.25" customHeight="1">
      <c r="B243" s="13" t="s">
        <v>293</v>
      </c>
      <c r="C243" s="14">
        <v>14409.66</v>
      </c>
      <c r="D243" s="3">
        <v>0.23</v>
      </c>
      <c r="E243" s="3">
        <v>2.2599999999999998</v>
      </c>
      <c r="F243" s="3">
        <v>16.45</v>
      </c>
      <c r="G243" s="3">
        <v>31.17</v>
      </c>
      <c r="M243" s="14">
        <f t="shared" ref="M243:Q243" si="318">C243/C244-1</f>
        <v>6.8479986474993204E-2</v>
      </c>
      <c r="N243" s="14">
        <f t="shared" si="318"/>
        <v>4.5454545454545414E-2</v>
      </c>
      <c r="O243" s="14">
        <f t="shared" si="318"/>
        <v>0.36969696969696964</v>
      </c>
      <c r="P243" s="14">
        <f t="shared" si="318"/>
        <v>2.3646546359676446E-2</v>
      </c>
      <c r="Q243" s="14">
        <f t="shared" si="318"/>
        <v>0.12324324324324332</v>
      </c>
      <c r="R243" s="14"/>
      <c r="S243" s="14"/>
      <c r="T243" s="14"/>
      <c r="U243" s="14"/>
    </row>
    <row r="244" spans="2:21" ht="14.25" customHeight="1">
      <c r="B244" s="13" t="s">
        <v>294</v>
      </c>
      <c r="C244" s="14">
        <v>13486.13</v>
      </c>
      <c r="D244" s="3">
        <v>0.22</v>
      </c>
      <c r="E244" s="3">
        <v>1.65</v>
      </c>
      <c r="F244" s="3">
        <v>16.07</v>
      </c>
      <c r="G244" s="3">
        <v>27.75</v>
      </c>
      <c r="M244" s="14">
        <f t="shared" ref="M244:Q244" si="319">C244/C245-1</f>
        <v>4.024408398698287E-2</v>
      </c>
      <c r="N244" s="14">
        <f t="shared" si="319"/>
        <v>-4.3478260869565299E-2</v>
      </c>
      <c r="O244" s="14">
        <f t="shared" si="319"/>
        <v>-7.3033707865168607E-2</v>
      </c>
      <c r="P244" s="14">
        <f t="shared" si="319"/>
        <v>2.0965692503176703E-2</v>
      </c>
      <c r="Q244" s="14">
        <f t="shared" si="319"/>
        <v>-0.10310277957336789</v>
      </c>
      <c r="R244" s="14"/>
      <c r="S244" s="14"/>
      <c r="T244" s="14"/>
      <c r="U244" s="14"/>
    </row>
    <row r="245" spans="2:21" ht="14.25" customHeight="1">
      <c r="B245" s="13" t="s">
        <v>295</v>
      </c>
      <c r="C245" s="14">
        <v>12964.39</v>
      </c>
      <c r="D245" s="3">
        <v>0.23</v>
      </c>
      <c r="E245" s="3">
        <v>1.78</v>
      </c>
      <c r="F245" s="3">
        <v>15.74</v>
      </c>
      <c r="G245" s="3">
        <v>30.94</v>
      </c>
      <c r="M245" s="14">
        <f t="shared" ref="M245:Q245" si="320">C245/C246-1</f>
        <v>5.2049056276114669E-2</v>
      </c>
      <c r="N245" s="14">
        <f t="shared" si="320"/>
        <v>0.2777777777777779</v>
      </c>
      <c r="O245" s="14">
        <f t="shared" si="320"/>
        <v>9.8765432098765427E-2</v>
      </c>
      <c r="P245" s="14">
        <f t="shared" si="320"/>
        <v>1.9096117122852085E-3</v>
      </c>
      <c r="Q245" s="14">
        <f t="shared" si="320"/>
        <v>5.561241896963498E-2</v>
      </c>
      <c r="R245" s="14"/>
      <c r="S245" s="14"/>
      <c r="T245" s="14"/>
      <c r="U245" s="14"/>
    </row>
    <row r="246" spans="2:21" ht="14.25" customHeight="1">
      <c r="B246" s="13" t="s">
        <v>296</v>
      </c>
      <c r="C246" s="14">
        <v>12322.99</v>
      </c>
      <c r="D246" s="3">
        <v>0.18</v>
      </c>
      <c r="E246" s="3">
        <v>1.62</v>
      </c>
      <c r="F246" s="3">
        <v>15.71</v>
      </c>
      <c r="G246" s="3">
        <v>29.31</v>
      </c>
      <c r="M246" s="14">
        <f t="shared" ref="M246:Q246" si="321">C246/C247-1</f>
        <v>-2.7917708588061751E-2</v>
      </c>
      <c r="N246" s="14">
        <f t="shared" si="321"/>
        <v>-0.10000000000000009</v>
      </c>
      <c r="O246" s="14">
        <f t="shared" si="321"/>
        <v>-5.2631578947368363E-2</v>
      </c>
      <c r="P246" s="14">
        <f t="shared" si="321"/>
        <v>-5.9281437125748404E-2</v>
      </c>
      <c r="Q246" s="14">
        <f t="shared" si="321"/>
        <v>-5.8766859344894118E-2</v>
      </c>
      <c r="R246" s="14"/>
      <c r="S246" s="14"/>
      <c r="T246" s="14"/>
      <c r="U246" s="14"/>
    </row>
    <row r="247" spans="2:21" ht="14.25" customHeight="1">
      <c r="B247" s="13" t="s">
        <v>297</v>
      </c>
      <c r="C247" s="14">
        <v>12676.9</v>
      </c>
      <c r="D247" s="3">
        <v>0.2</v>
      </c>
      <c r="E247" s="3">
        <v>1.71</v>
      </c>
      <c r="F247" s="3">
        <v>16.7</v>
      </c>
      <c r="G247" s="3">
        <v>31.14</v>
      </c>
      <c r="M247" s="14">
        <f t="shared" ref="M247:Q247" si="322">C247/C248-1</f>
        <v>-8.0681912127088307E-2</v>
      </c>
      <c r="N247" s="14">
        <f t="shared" si="322"/>
        <v>-0.16666666666666663</v>
      </c>
      <c r="O247" s="14">
        <f t="shared" si="322"/>
        <v>-2.8409090909090939E-2</v>
      </c>
      <c r="P247" s="14">
        <f t="shared" si="322"/>
        <v>-2.9069767441860517E-2</v>
      </c>
      <c r="Q247" s="14">
        <f t="shared" si="322"/>
        <v>-5.8645707376058009E-2</v>
      </c>
      <c r="R247" s="14"/>
      <c r="S247" s="14"/>
      <c r="T247" s="14"/>
      <c r="U247" s="14"/>
    </row>
    <row r="248" spans="2:21" ht="14.25" customHeight="1">
      <c r="B248" s="13" t="s">
        <v>298</v>
      </c>
      <c r="C248" s="14">
        <v>13789.46</v>
      </c>
      <c r="D248" s="3">
        <v>0.24</v>
      </c>
      <c r="E248" s="3">
        <v>1.76</v>
      </c>
      <c r="F248" s="3">
        <v>17.2</v>
      </c>
      <c r="G248" s="3">
        <v>33.08</v>
      </c>
      <c r="M248" s="14">
        <f t="shared" ref="M248:Q248" si="323">C248/C249-1</f>
        <v>5.2862003249569245E-2</v>
      </c>
      <c r="N248" s="14">
        <f t="shared" si="323"/>
        <v>0.26315789473684204</v>
      </c>
      <c r="O248" s="14">
        <f t="shared" si="323"/>
        <v>-0.18518518518518523</v>
      </c>
      <c r="P248" s="14">
        <f t="shared" si="323"/>
        <v>-1.5455065827132186E-2</v>
      </c>
      <c r="Q248" s="14">
        <f t="shared" si="323"/>
        <v>2.1302871256560607E-2</v>
      </c>
      <c r="R248" s="14"/>
      <c r="S248" s="14"/>
      <c r="T248" s="14"/>
      <c r="U248" s="14"/>
    </row>
    <row r="249" spans="2:21" ht="14.25" customHeight="1">
      <c r="B249" s="13" t="s">
        <v>299</v>
      </c>
      <c r="C249" s="14">
        <v>13097.12</v>
      </c>
      <c r="D249" s="3">
        <v>0.19</v>
      </c>
      <c r="E249" s="3">
        <v>2.16</v>
      </c>
      <c r="F249" s="3">
        <v>17.47</v>
      </c>
      <c r="G249" s="3">
        <v>32.39</v>
      </c>
      <c r="M249" s="14">
        <f t="shared" ref="M249:Q249" si="324">C249/C250-1</f>
        <v>1.3875341774346905E-2</v>
      </c>
      <c r="N249" s="14">
        <f t="shared" si="324"/>
        <v>-5.0000000000000044E-2</v>
      </c>
      <c r="O249" s="14">
        <f t="shared" si="324"/>
        <v>-2.2624434389140191E-2</v>
      </c>
      <c r="P249" s="14">
        <f t="shared" si="324"/>
        <v>-7.9500283929585525E-3</v>
      </c>
      <c r="Q249" s="14">
        <f t="shared" si="324"/>
        <v>1.0293200249532175E-2</v>
      </c>
      <c r="R249" s="14"/>
      <c r="S249" s="14"/>
      <c r="T249" s="14"/>
      <c r="U249" s="14"/>
    </row>
    <row r="250" spans="2:21" ht="14.25" customHeight="1">
      <c r="B250" s="13" t="s">
        <v>300</v>
      </c>
      <c r="C250" s="14">
        <v>12917.88</v>
      </c>
      <c r="D250" s="3">
        <v>0.2</v>
      </c>
      <c r="E250" s="3">
        <v>2.21</v>
      </c>
      <c r="F250" s="3">
        <v>17.61</v>
      </c>
      <c r="G250" s="3">
        <v>32.06</v>
      </c>
      <c r="M250" s="14">
        <f t="shared" ref="M250:Q250" si="325">C250/C251-1</f>
        <v>6.7368447145436328E-2</v>
      </c>
      <c r="N250" s="14">
        <f t="shared" si="325"/>
        <v>0.25</v>
      </c>
      <c r="O250" s="14">
        <f t="shared" si="325"/>
        <v>0.11616161616161613</v>
      </c>
      <c r="P250" s="14">
        <f t="shared" si="325"/>
        <v>1.4985590778097801E-2</v>
      </c>
      <c r="Q250" s="14">
        <f t="shared" si="325"/>
        <v>4.2940793754066453E-2</v>
      </c>
      <c r="R250" s="14"/>
      <c r="S250" s="14"/>
      <c r="T250" s="14"/>
      <c r="U250" s="14"/>
    </row>
    <row r="251" spans="2:21" ht="14.25" customHeight="1">
      <c r="B251" s="13" t="s">
        <v>301</v>
      </c>
      <c r="C251" s="14">
        <v>12102.55</v>
      </c>
      <c r="D251" s="3">
        <v>0.16</v>
      </c>
      <c r="E251" s="3">
        <v>1.98</v>
      </c>
      <c r="F251" s="3">
        <v>17.350000000000001</v>
      </c>
      <c r="G251" s="3">
        <v>30.74</v>
      </c>
      <c r="M251" s="14">
        <f t="shared" ref="M251:Q251" si="326">C251/C252-1</f>
        <v>4.653958069411579E-2</v>
      </c>
      <c r="N251" s="14">
        <f t="shared" si="326"/>
        <v>0.33333333333333348</v>
      </c>
      <c r="O251" s="14">
        <f t="shared" si="326"/>
        <v>0.15789473684210531</v>
      </c>
      <c r="P251" s="14">
        <f t="shared" si="326"/>
        <v>-3.4501947690595336E-2</v>
      </c>
      <c r="Q251" s="14">
        <f t="shared" si="326"/>
        <v>5.4545454545454453E-2</v>
      </c>
      <c r="R251" s="14"/>
      <c r="S251" s="14"/>
      <c r="T251" s="14"/>
      <c r="U251" s="14"/>
    </row>
    <row r="252" spans="2:21" ht="14.25" customHeight="1">
      <c r="B252" s="13" t="s">
        <v>302</v>
      </c>
      <c r="C252" s="14">
        <v>11564.35</v>
      </c>
      <c r="D252" s="3">
        <v>0.12</v>
      </c>
      <c r="E252" s="3">
        <v>1.71</v>
      </c>
      <c r="F252" s="3">
        <v>17.97</v>
      </c>
      <c r="G252" s="3">
        <v>29.15</v>
      </c>
      <c r="M252" s="14">
        <f t="shared" ref="M252:Q252" si="327">C252/C253-1</f>
        <v>5.5394679562705162E-2</v>
      </c>
      <c r="N252" s="14">
        <f t="shared" si="327"/>
        <v>0</v>
      </c>
      <c r="O252" s="14">
        <f t="shared" si="327"/>
        <v>-0.16176470588235292</v>
      </c>
      <c r="P252" s="14">
        <f t="shared" si="327"/>
        <v>1.3536379018612488E-2</v>
      </c>
      <c r="Q252" s="14">
        <f t="shared" si="327"/>
        <v>3.9957188726364556E-2</v>
      </c>
      <c r="R252" s="14"/>
      <c r="S252" s="14"/>
      <c r="T252" s="14"/>
      <c r="U252" s="14"/>
    </row>
    <row r="253" spans="2:21" ht="14.25" customHeight="1">
      <c r="B253" s="13" t="s">
        <v>303</v>
      </c>
      <c r="C253" s="14">
        <v>10957.37</v>
      </c>
      <c r="D253" s="3">
        <v>0.12</v>
      </c>
      <c r="E253" s="3">
        <v>2.04</v>
      </c>
      <c r="F253" s="3">
        <v>17.73</v>
      </c>
      <c r="G253" s="3">
        <v>28.03</v>
      </c>
      <c r="M253" s="14">
        <f t="shared" ref="M253:Q253" si="328">C253/C254-1</f>
        <v>6.7520303342062604E-2</v>
      </c>
      <c r="N253" s="14">
        <f t="shared" si="328"/>
        <v>0.19999999999999996</v>
      </c>
      <c r="O253" s="14">
        <f t="shared" si="328"/>
        <v>6.8062827225130906E-2</v>
      </c>
      <c r="P253" s="14">
        <f t="shared" si="328"/>
        <v>9.6810933940776334E-3</v>
      </c>
      <c r="Q253" s="14">
        <f t="shared" si="328"/>
        <v>3.737971872686896E-2</v>
      </c>
      <c r="R253" s="14"/>
      <c r="S253" s="14"/>
      <c r="T253" s="14"/>
      <c r="U253" s="14"/>
    </row>
    <row r="254" spans="2:21" ht="14.25" customHeight="1">
      <c r="B254" s="13" t="s">
        <v>304</v>
      </c>
      <c r="C254" s="14">
        <v>10264.32</v>
      </c>
      <c r="D254" s="3">
        <v>0.1</v>
      </c>
      <c r="E254" s="3">
        <v>1.91</v>
      </c>
      <c r="F254" s="3">
        <v>17.559999999999999</v>
      </c>
      <c r="G254" s="3">
        <v>27.02</v>
      </c>
      <c r="M254" s="14">
        <f t="shared" ref="M254:Q254" si="329">C254/C255-1</f>
        <v>1.4622805170619202E-2</v>
      </c>
      <c r="N254" s="14">
        <f t="shared" si="329"/>
        <v>-0.23076923076923073</v>
      </c>
      <c r="O254" s="14">
        <f t="shared" si="329"/>
        <v>-2.0512820512820551E-2</v>
      </c>
      <c r="P254" s="14">
        <f t="shared" si="329"/>
        <v>-6.2252405206566497E-3</v>
      </c>
      <c r="Q254" s="14">
        <f t="shared" si="329"/>
        <v>-1.74545454545455E-2</v>
      </c>
      <c r="R254" s="14"/>
      <c r="S254" s="14"/>
      <c r="T254" s="14"/>
      <c r="U254" s="14"/>
    </row>
    <row r="255" spans="2:21" ht="14.25" customHeight="1">
      <c r="B255" s="13" t="s">
        <v>305</v>
      </c>
      <c r="C255" s="14">
        <v>10116.39</v>
      </c>
      <c r="D255" s="3">
        <v>0.13</v>
      </c>
      <c r="E255" s="3">
        <v>1.95</v>
      </c>
      <c r="F255" s="3">
        <v>17.670000000000002</v>
      </c>
      <c r="G255" s="3">
        <v>27.5</v>
      </c>
      <c r="M255" s="14">
        <f t="shared" ref="M255:Q255" si="330">C255/C256-1</f>
        <v>-1.6089563909891469E-2</v>
      </c>
      <c r="N255" s="14">
        <f t="shared" si="330"/>
        <v>-0.23529411764705888</v>
      </c>
      <c r="O255" s="14">
        <f t="shared" si="330"/>
        <v>-0.28308823529411775</v>
      </c>
      <c r="P255" s="14">
        <f t="shared" si="330"/>
        <v>4.5480386583287569E-3</v>
      </c>
      <c r="Q255" s="14">
        <f t="shared" si="330"/>
        <v>5.7692307692307709E-2</v>
      </c>
      <c r="R255" s="14"/>
      <c r="S255" s="14"/>
      <c r="T255" s="14"/>
      <c r="U255" s="14"/>
    </row>
    <row r="256" spans="2:21" ht="14.25" customHeight="1">
      <c r="B256" s="13" t="s">
        <v>306</v>
      </c>
      <c r="C256" s="14">
        <v>10281.82</v>
      </c>
      <c r="D256" s="3">
        <v>0.17</v>
      </c>
      <c r="E256" s="3">
        <v>2.72</v>
      </c>
      <c r="F256" s="3">
        <v>17.59</v>
      </c>
      <c r="G256" s="3">
        <v>26</v>
      </c>
      <c r="M256" s="14">
        <f t="shared" ref="M256:Q256" si="331">C256/C257-1</f>
        <v>2.4464219347986038E-2</v>
      </c>
      <c r="N256" s="14">
        <f t="shared" si="331"/>
        <v>-0.15000000000000002</v>
      </c>
      <c r="O256" s="14">
        <f t="shared" si="331"/>
        <v>0.12396694214876036</v>
      </c>
      <c r="P256" s="14">
        <f t="shared" si="331"/>
        <v>-5.3283100107642589E-2</v>
      </c>
      <c r="Q256" s="14">
        <f t="shared" si="331"/>
        <v>-1.5151515151515138E-2</v>
      </c>
      <c r="R256" s="14"/>
      <c r="S256" s="14"/>
      <c r="T256" s="14"/>
      <c r="U256" s="14"/>
    </row>
    <row r="257" spans="2:21" ht="14.25" customHeight="1">
      <c r="B257" s="13" t="s">
        <v>307</v>
      </c>
      <c r="C257" s="14">
        <v>10036.290000000001</v>
      </c>
      <c r="D257" s="3">
        <v>0.2</v>
      </c>
      <c r="E257" s="3">
        <v>2.42</v>
      </c>
      <c r="F257" s="3">
        <v>18.579999999999998</v>
      </c>
      <c r="G257" s="3">
        <v>26.4</v>
      </c>
      <c r="M257" s="14">
        <f t="shared" ref="M257:Q257" si="332">C257/C258-1</f>
        <v>8.8619670229481695E-3</v>
      </c>
      <c r="N257" s="14">
        <f t="shared" si="332"/>
        <v>0.17647058823529416</v>
      </c>
      <c r="O257" s="14">
        <f t="shared" si="332"/>
        <v>0.11009174311926584</v>
      </c>
      <c r="P257" s="14">
        <f t="shared" si="332"/>
        <v>-2.210526315789485E-2</v>
      </c>
      <c r="Q257" s="14">
        <f t="shared" si="332"/>
        <v>-3.0481087036356991E-2</v>
      </c>
      <c r="R257" s="14"/>
      <c r="S257" s="14"/>
      <c r="T257" s="14"/>
      <c r="U257" s="14"/>
    </row>
    <row r="258" spans="2:21" ht="14.25" customHeight="1">
      <c r="B258" s="13" t="s">
        <v>308</v>
      </c>
      <c r="C258" s="14">
        <v>9948.1299999999992</v>
      </c>
      <c r="D258" s="3">
        <v>0.17</v>
      </c>
      <c r="E258" s="3">
        <v>2.1800000000000002</v>
      </c>
      <c r="F258" s="3">
        <v>19</v>
      </c>
      <c r="G258" s="3">
        <v>27.23</v>
      </c>
      <c r="M258" s="14">
        <f t="shared" ref="M258:Q258" si="333">C258/C259-1</f>
        <v>-5.4135488471594995E-2</v>
      </c>
      <c r="N258" s="14">
        <f t="shared" si="333"/>
        <v>-0.22727272727272718</v>
      </c>
      <c r="O258" s="14">
        <f t="shared" si="333"/>
        <v>9.2592592592593004E-3</v>
      </c>
      <c r="P258" s="14">
        <f t="shared" si="333"/>
        <v>-4.5226130653266305E-2</v>
      </c>
      <c r="Q258" s="14">
        <f t="shared" si="333"/>
        <v>-4.6902345117255884E-2</v>
      </c>
      <c r="R258" s="14"/>
      <c r="S258" s="14"/>
      <c r="T258" s="14"/>
      <c r="U258" s="14"/>
    </row>
    <row r="259" spans="2:21" ht="14.25" customHeight="1">
      <c r="B259" s="13" t="s">
        <v>309</v>
      </c>
      <c r="C259" s="14">
        <v>10517.5</v>
      </c>
      <c r="D259" s="3">
        <v>0.22</v>
      </c>
      <c r="E259" s="3">
        <v>2.16</v>
      </c>
      <c r="F259" s="3">
        <v>19.899999999999999</v>
      </c>
      <c r="G259" s="3">
        <v>28.57</v>
      </c>
      <c r="N259" s="14"/>
      <c r="O259" s="14"/>
    </row>
    <row r="260" spans="2:21" ht="14.25" customHeight="1"/>
    <row r="261" spans="2:21" ht="14.25" customHeight="1"/>
    <row r="262" spans="2:21" ht="14.25" customHeight="1"/>
    <row r="263" spans="2:21" ht="14.25" customHeight="1"/>
    <row r="264" spans="2:21" ht="14.25" customHeight="1"/>
    <row r="265" spans="2:21" ht="14.25" customHeight="1"/>
    <row r="266" spans="2:21" ht="14.25" customHeight="1"/>
    <row r="267" spans="2:21" ht="14.25" customHeight="1"/>
    <row r="268" spans="2:21" ht="14.25" customHeight="1"/>
    <row r="269" spans="2:21" ht="14.25" customHeight="1"/>
    <row r="270" spans="2:21" ht="14.25" customHeight="1"/>
    <row r="271" spans="2:21" ht="14.25" customHeight="1"/>
    <row r="272" spans="2:21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4">
    <mergeCell ref="AO74:AP74"/>
    <mergeCell ref="AY74:AZ74"/>
    <mergeCell ref="AO34:AQ34"/>
    <mergeCell ref="AO44:AQ44"/>
    <mergeCell ref="AY44:BA44"/>
    <mergeCell ref="AO53:AR53"/>
    <mergeCell ref="AY53:BB53"/>
    <mergeCell ref="AO61:AR61"/>
    <mergeCell ref="AY61:BB61"/>
    <mergeCell ref="AC20:AD20"/>
    <mergeCell ref="AO24:AQ24"/>
    <mergeCell ref="AY24:BA24"/>
    <mergeCell ref="AY34:BA34"/>
    <mergeCell ref="AO72:AR72"/>
    <mergeCell ref="AO14:AQ14"/>
    <mergeCell ref="AY14:BA14"/>
    <mergeCell ref="AF16:AJ16"/>
    <mergeCell ref="W17:X17"/>
    <mergeCell ref="AA17:AB17"/>
    <mergeCell ref="B2:V2"/>
    <mergeCell ref="AF3:AJ3"/>
    <mergeCell ref="B4:K4"/>
    <mergeCell ref="O4:T4"/>
    <mergeCell ref="W4:AA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3:L28"/>
  <sheetViews>
    <sheetView topLeftCell="A5" workbookViewId="0">
      <selection activeCell="G26" sqref="G26"/>
    </sheetView>
  </sheetViews>
  <sheetFormatPr baseColWidth="10" defaultColWidth="12.6640625" defaultRowHeight="15" customHeight="1"/>
  <sheetData>
    <row r="3" spans="2:12">
      <c r="B3" s="36" t="s">
        <v>310</v>
      </c>
      <c r="C3" s="37"/>
    </row>
    <row r="5" spans="2:12">
      <c r="B5" s="4" t="s">
        <v>311</v>
      </c>
      <c r="D5" s="38">
        <v>0.1</v>
      </c>
    </row>
    <row r="6" spans="2:12">
      <c r="B6" s="4" t="s">
        <v>312</v>
      </c>
      <c r="D6" s="38">
        <v>0.9</v>
      </c>
    </row>
    <row r="8" spans="2:12">
      <c r="B8" s="4" t="s">
        <v>313</v>
      </c>
    </row>
    <row r="10" spans="2:12">
      <c r="B10" s="4" t="s">
        <v>311</v>
      </c>
      <c r="D10" s="4" t="s">
        <v>314</v>
      </c>
    </row>
    <row r="11" spans="2:12">
      <c r="B11" s="4" t="s">
        <v>315</v>
      </c>
      <c r="D11" s="4" t="s">
        <v>316</v>
      </c>
    </row>
    <row r="14" spans="2:12">
      <c r="B14" s="4" t="s">
        <v>317</v>
      </c>
      <c r="G14" s="39" t="s">
        <v>7</v>
      </c>
      <c r="H14" s="3">
        <v>0.17620263653275114</v>
      </c>
      <c r="J14" s="4"/>
      <c r="K14" s="39" t="s">
        <v>7</v>
      </c>
      <c r="L14" s="3">
        <f>H14*C16</f>
        <v>0.15858237287947605</v>
      </c>
    </row>
    <row r="15" spans="2:12">
      <c r="G15" s="39" t="s">
        <v>8</v>
      </c>
      <c r="H15" s="3">
        <v>0.13435330259139078</v>
      </c>
      <c r="K15" s="39" t="s">
        <v>8</v>
      </c>
      <c r="L15" s="3">
        <f>H15*C16</f>
        <v>0.1209179723322517</v>
      </c>
    </row>
    <row r="16" spans="2:12">
      <c r="B16" s="4" t="s">
        <v>318</v>
      </c>
      <c r="C16" s="4">
        <v>0.9</v>
      </c>
      <c r="G16" s="39" t="s">
        <v>9</v>
      </c>
      <c r="H16" s="3">
        <v>0.10084091836665243</v>
      </c>
      <c r="K16" s="39" t="s">
        <v>9</v>
      </c>
      <c r="L16" s="3">
        <f>H16*C16</f>
        <v>9.0756826529987192E-2</v>
      </c>
    </row>
    <row r="17" spans="1:12">
      <c r="G17" s="39" t="s">
        <v>18</v>
      </c>
      <c r="H17" s="3">
        <v>0.45002321185153821</v>
      </c>
      <c r="K17" s="39" t="s">
        <v>18</v>
      </c>
      <c r="L17" s="3">
        <f>H17*C16</f>
        <v>0.40502089066638441</v>
      </c>
    </row>
    <row r="18" spans="1:12">
      <c r="G18" s="39" t="s">
        <v>97</v>
      </c>
      <c r="H18" s="3">
        <v>0.13857993065766738</v>
      </c>
      <c r="K18" s="40" t="s">
        <v>97</v>
      </c>
      <c r="L18" s="3">
        <f>H18*C16</f>
        <v>0.12472193759190064</v>
      </c>
    </row>
    <row r="19" spans="1:12">
      <c r="G19" s="4" t="s">
        <v>111</v>
      </c>
      <c r="H19" s="3">
        <f>SUM(H14:H18)</f>
        <v>1</v>
      </c>
      <c r="K19" s="4" t="s">
        <v>111</v>
      </c>
      <c r="L19" s="3">
        <f>SUM(L14:L18)</f>
        <v>0.89999999999999991</v>
      </c>
    </row>
    <row r="21" spans="1:12" ht="15" customHeight="1">
      <c r="A21" s="52"/>
      <c r="B21" s="52"/>
      <c r="C21" s="52"/>
      <c r="D21" s="52"/>
      <c r="E21" s="52"/>
      <c r="F21" s="52"/>
      <c r="G21" s="52"/>
      <c r="H21" s="52"/>
      <c r="I21" s="52"/>
      <c r="J21" s="52"/>
      <c r="K21" s="52"/>
    </row>
    <row r="22" spans="1:12">
      <c r="A22" s="52"/>
      <c r="B22" s="4" t="s">
        <v>319</v>
      </c>
      <c r="E22" s="39" t="s">
        <v>7</v>
      </c>
      <c r="F22" s="3">
        <f>(90000*H14)/98.43</f>
        <v>161.11182858831253</v>
      </c>
      <c r="H22" s="4" t="s">
        <v>320</v>
      </c>
      <c r="I22" s="39" t="s">
        <v>7</v>
      </c>
      <c r="J22" s="3">
        <f>F22*98.4</f>
        <v>15853.403933089954</v>
      </c>
      <c r="K22" s="52"/>
    </row>
    <row r="23" spans="1:12">
      <c r="A23" s="52"/>
      <c r="E23" s="39" t="s">
        <v>8</v>
      </c>
      <c r="F23" s="3">
        <f>(90000*H15)/177</f>
        <v>68.315238605791919</v>
      </c>
      <c r="I23" s="39" t="s">
        <v>8</v>
      </c>
      <c r="J23" s="3">
        <f>F23*177</f>
        <v>12091.79723322517</v>
      </c>
      <c r="K23" s="52"/>
    </row>
    <row r="24" spans="1:12">
      <c r="A24" s="52"/>
      <c r="E24" s="39" t="s">
        <v>9</v>
      </c>
      <c r="F24" s="3">
        <f>(90000*H16)/84.11</f>
        <v>107.90254016167779</v>
      </c>
      <c r="I24" s="39" t="s">
        <v>9</v>
      </c>
      <c r="J24" s="3">
        <f>F24*84.11</f>
        <v>9075.6826529987193</v>
      </c>
      <c r="K24" s="52"/>
    </row>
    <row r="25" spans="1:12">
      <c r="A25" s="52"/>
      <c r="E25" s="39" t="s">
        <v>18</v>
      </c>
      <c r="F25" s="3">
        <f>(90000*H17)/303</f>
        <v>133.67026094600143</v>
      </c>
      <c r="I25" s="39" t="s">
        <v>18</v>
      </c>
      <c r="J25" s="3">
        <f>F25*303</f>
        <v>40502.089066638437</v>
      </c>
      <c r="K25" s="52"/>
    </row>
    <row r="26" spans="1:12">
      <c r="A26" s="52"/>
      <c r="E26" s="39" t="s">
        <v>97</v>
      </c>
      <c r="F26" s="3">
        <f>(90000*H18)/215.48</f>
        <v>57.880980876137293</v>
      </c>
      <c r="I26" s="39" t="s">
        <v>97</v>
      </c>
      <c r="J26" s="3">
        <f>F26*215.48</f>
        <v>12472.193759190064</v>
      </c>
      <c r="K26" s="52"/>
    </row>
    <row r="27" spans="1:12">
      <c r="A27" s="52"/>
      <c r="I27" s="4" t="s">
        <v>321</v>
      </c>
      <c r="J27" s="3">
        <f>SUM(J22:J26)</f>
        <v>89995.166645142337</v>
      </c>
      <c r="K27" s="52"/>
    </row>
    <row r="28" spans="1:12" ht="15" customHeight="1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Acciones</vt:lpstr>
      <vt:lpstr>Configuracion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Niño</dc:creator>
  <cp:lastModifiedBy>Eduardo Niño</cp:lastModifiedBy>
  <dcterms:created xsi:type="dcterms:W3CDTF">2025-03-10T01:14:44Z</dcterms:created>
  <dcterms:modified xsi:type="dcterms:W3CDTF">2025-05-29T00:31:39Z</dcterms:modified>
</cp:coreProperties>
</file>